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defaultThemeVersion="166925"/>
  <mc:AlternateContent xmlns:mc="http://schemas.openxmlformats.org/markup-compatibility/2006">
    <mc:Choice Requires="x15">
      <x15ac:absPath xmlns:x15ac="http://schemas.microsoft.com/office/spreadsheetml/2010/11/ac" url="D:\Business Data Analytic\Project\PORTFOLIO\Project 04\"/>
    </mc:Choice>
  </mc:AlternateContent>
  <xr:revisionPtr revIDLastSave="0" documentId="13_ncr:1_{382D27F9-854B-4387-96C0-807D142A0C82}" xr6:coauthVersionLast="47" xr6:coauthVersionMax="47" xr10:uidLastSave="{00000000-0000-0000-0000-000000000000}"/>
  <bookViews>
    <workbookView xWindow="-110" yWindow="-110" windowWidth="19420" windowHeight="10300" tabRatio="897" activeTab="6" xr2:uid="{00000000-000D-0000-FFFF-FFFF00000000}"/>
  </bookViews>
  <sheets>
    <sheet name="Project 04" sheetId="1" r:id="rId1"/>
    <sheet name="Cost and Benefit by Manager" sheetId="8" state="hidden" r:id="rId2"/>
    <sheet name="Project type &amp; Complexity" sheetId="9" state="hidden" r:id="rId3"/>
    <sheet name="Benefit &amp; Cost by region" sheetId="10" state="hidden" r:id="rId4"/>
    <sheet name="Benefit by Department" sheetId="11" state="hidden" r:id="rId5"/>
    <sheet name="number of project by status" sheetId="12" state="hidden" r:id="rId6"/>
    <sheet name="Dashboard" sheetId="7" r:id="rId7"/>
  </sheets>
  <definedNames>
    <definedName name="_xlnm._FilterDatabase" localSheetId="0" hidden="1">'Project 04'!$A$1:$M$100</definedName>
    <definedName name="Slicer_Department">#N/A</definedName>
    <definedName name="Slicer_Region">#N/A</definedName>
    <definedName name="Slicer_Years">#N/A</definedName>
  </definedNames>
  <calcPr calcId="191029"/>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1" l="1"/>
  <c r="I93" i="1"/>
  <c r="I43" i="1"/>
  <c r="I32" i="1"/>
  <c r="I49" i="1"/>
  <c r="I82" i="1"/>
  <c r="I100" i="1"/>
  <c r="I36" i="1"/>
  <c r="I70" i="1"/>
  <c r="I19" i="1"/>
  <c r="I20" i="1"/>
  <c r="I98" i="1"/>
  <c r="I60" i="1"/>
  <c r="I28" i="1"/>
  <c r="I86" i="1"/>
  <c r="I31" i="1"/>
  <c r="I12" i="1"/>
  <c r="I14" i="1"/>
  <c r="I88" i="1"/>
  <c r="I5" i="1"/>
  <c r="I10" i="1"/>
  <c r="I11" i="1"/>
  <c r="I66" i="1"/>
  <c r="I41" i="1"/>
  <c r="I95" i="1"/>
  <c r="I79" i="1"/>
  <c r="I2" i="1"/>
  <c r="I38" i="1"/>
  <c r="I39" i="1"/>
  <c r="I47" i="1"/>
  <c r="I3" i="1"/>
  <c r="I51" i="1"/>
  <c r="I64" i="1"/>
  <c r="I23" i="1"/>
  <c r="I37" i="1"/>
  <c r="I16" i="1"/>
  <c r="I34" i="1"/>
  <c r="I55" i="1"/>
  <c r="I56" i="1"/>
  <c r="I99" i="1"/>
  <c r="I13" i="1"/>
  <c r="I33" i="1"/>
  <c r="I69" i="1"/>
  <c r="I80" i="1"/>
  <c r="I71" i="1"/>
  <c r="I68" i="1"/>
  <c r="I15" i="1"/>
  <c r="I83" i="1"/>
  <c r="I8" i="1"/>
  <c r="I72" i="1"/>
  <c r="I84" i="1"/>
  <c r="I62" i="1"/>
  <c r="I91" i="1"/>
  <c r="I54" i="1"/>
  <c r="I42" i="1"/>
  <c r="I73" i="1"/>
  <c r="I7" i="1"/>
  <c r="I94" i="1"/>
  <c r="I44" i="1"/>
  <c r="I96" i="1"/>
  <c r="I57" i="1"/>
  <c r="I81" i="1"/>
  <c r="I9" i="1"/>
  <c r="I26" i="1"/>
  <c r="I24" i="1"/>
  <c r="I45" i="1"/>
  <c r="I29" i="1"/>
  <c r="I35" i="1"/>
  <c r="I92" i="1"/>
  <c r="I77" i="1"/>
  <c r="I74" i="1"/>
  <c r="I97" i="1"/>
  <c r="I27" i="1"/>
  <c r="I85" i="1"/>
  <c r="I6" i="1"/>
  <c r="I59" i="1"/>
  <c r="I48" i="1"/>
  <c r="I46" i="1"/>
  <c r="I40" i="1"/>
  <c r="I89" i="1"/>
  <c r="I58" i="1"/>
  <c r="I4" i="1"/>
  <c r="I67" i="1"/>
  <c r="I25" i="1"/>
  <c r="I61" i="1"/>
  <c r="I63" i="1"/>
  <c r="I50" i="1"/>
  <c r="I21" i="1"/>
  <c r="I87" i="1"/>
  <c r="I78" i="1"/>
  <c r="I53" i="1"/>
  <c r="I65" i="1"/>
  <c r="I17" i="1"/>
  <c r="I75" i="1"/>
  <c r="I90" i="1"/>
  <c r="I76" i="1"/>
  <c r="I30" i="1"/>
  <c r="I52" i="1"/>
  <c r="I18" i="1"/>
</calcChain>
</file>

<file path=xl/sharedStrings.xml><?xml version="1.0" encoding="utf-8"?>
<sst xmlns="http://schemas.openxmlformats.org/spreadsheetml/2006/main" count="865" uniqueCount="155">
  <si>
    <t>Project Name</t>
  </si>
  <si>
    <t>Project Type</t>
  </si>
  <si>
    <t>Project Manager</t>
  </si>
  <si>
    <t>Region</t>
  </si>
  <si>
    <t>Department</t>
  </si>
  <si>
    <t xml:space="preserve"> Project Cost </t>
  </si>
  <si>
    <t xml:space="preserve"> Project Benefit </t>
  </si>
  <si>
    <t>Complexity</t>
  </si>
  <si>
    <t>Status</t>
  </si>
  <si>
    <t>Phase</t>
  </si>
  <si>
    <t>Start Date</t>
  </si>
  <si>
    <t>End Date</t>
  </si>
  <si>
    <t>Rhinestone</t>
  </si>
  <si>
    <t>Yael Wilcox</t>
  </si>
  <si>
    <t>North</t>
  </si>
  <si>
    <t>Admin &amp; BI</t>
  </si>
  <si>
    <t>High</t>
  </si>
  <si>
    <t>In - Progress</t>
  </si>
  <si>
    <t>A Triumph Of Softwares</t>
  </si>
  <si>
    <t>Brenda Chandler</t>
  </si>
  <si>
    <t>West</t>
  </si>
  <si>
    <t>eCommerce</t>
  </si>
  <si>
    <t>Cancelled</t>
  </si>
  <si>
    <t>The Blue Bird</t>
  </si>
  <si>
    <t>Nyasia Hunter</t>
  </si>
  <si>
    <t>Warehouse</t>
  </si>
  <si>
    <t>Completed</t>
  </si>
  <si>
    <t>Remembering Our Ancestors</t>
  </si>
  <si>
    <t>East</t>
  </si>
  <si>
    <t>Sales and Marketing</t>
  </si>
  <si>
    <t>Skyhawks</t>
  </si>
  <si>
    <t>Jaylyn Mckenzie</t>
  </si>
  <si>
    <t>The Coding Master</t>
  </si>
  <si>
    <t>Medium</t>
  </si>
  <si>
    <t>Fierce, Inc.</t>
  </si>
  <si>
    <t>Mo-Money Masterclass</t>
  </si>
  <si>
    <t>Town Hall Meeting</t>
  </si>
  <si>
    <t>Low</t>
  </si>
  <si>
    <t>Yosemite</t>
  </si>
  <si>
    <t>Kamari Norris</t>
  </si>
  <si>
    <t>South</t>
  </si>
  <si>
    <t>Supply Chain</t>
  </si>
  <si>
    <t>On - Hold</t>
  </si>
  <si>
    <t>Disruptor Training</t>
  </si>
  <si>
    <t>A Salute To New Workers</t>
  </si>
  <si>
    <t>Aleena Khan</t>
  </si>
  <si>
    <t>Robust Routine</t>
  </si>
  <si>
    <t>Passion Chasers</t>
  </si>
  <si>
    <t>Switch And Swift</t>
  </si>
  <si>
    <t>Deacon Delacruz</t>
  </si>
  <si>
    <t>The Guy With Codes</t>
  </si>
  <si>
    <t>Hex Clan</t>
  </si>
  <si>
    <t>Limitless Horizons</t>
  </si>
  <si>
    <t>The Wonders Of Geek</t>
  </si>
  <si>
    <t>Sputnik</t>
  </si>
  <si>
    <t>Annual Award Show</t>
  </si>
  <si>
    <t>Active Achievement</t>
  </si>
  <si>
    <t>Static Startup</t>
  </si>
  <si>
    <t>The Successful Project</t>
  </si>
  <si>
    <t>Excalibur Training</t>
  </si>
  <si>
    <t>Enter Coding</t>
  </si>
  <si>
    <t>Code Poltergeists</t>
  </si>
  <si>
    <t>Great Leadership</t>
  </si>
  <si>
    <t>Charged By Codes</t>
  </si>
  <si>
    <t>Center For Creative Coding</t>
  </si>
  <si>
    <t>The Principal Of Change</t>
  </si>
  <si>
    <t>Orange Leaders</t>
  </si>
  <si>
    <t>Associations Now</t>
  </si>
  <si>
    <t>Coding Region</t>
  </si>
  <si>
    <t>Linkage, Inc.</t>
  </si>
  <si>
    <t>The Success</t>
  </si>
  <si>
    <t>Yoda</t>
  </si>
  <si>
    <t>Match Of Health</t>
  </si>
  <si>
    <t>Yaeger</t>
  </si>
  <si>
    <t>Fast &amp; Creative Gang</t>
  </si>
  <si>
    <t>The Coding Expert</t>
  </si>
  <si>
    <t>No-Bull Bootcamp</t>
  </si>
  <si>
    <t>Search Engine Master</t>
  </si>
  <si>
    <t>School Leadership 2.0</t>
  </si>
  <si>
    <t>The Experienced Dude</t>
  </si>
  <si>
    <t>Evening Shindig</t>
  </si>
  <si>
    <t>The Morning Ceremony</t>
  </si>
  <si>
    <t>Mentee To Mentor</t>
  </si>
  <si>
    <t>The Code Honors</t>
  </si>
  <si>
    <t>Road-To-Success Workshop</t>
  </si>
  <si>
    <t>Code Change Group</t>
  </si>
  <si>
    <t>Yellow Moose</t>
  </si>
  <si>
    <t>Moving Bird</t>
  </si>
  <si>
    <t>Ceremony Worthy Of Time</t>
  </si>
  <si>
    <t>Leadership Minds</t>
  </si>
  <si>
    <t>The Art Of Codes</t>
  </si>
  <si>
    <t>The Coding Awards</t>
  </si>
  <si>
    <t>Coding League</t>
  </si>
  <si>
    <t>Only Project Experience</t>
  </si>
  <si>
    <t>Meetup For The Good</t>
  </si>
  <si>
    <t>White Feather</t>
  </si>
  <si>
    <t>Open Source Pundits</t>
  </si>
  <si>
    <t>Next Gala</t>
  </si>
  <si>
    <t>Project Explained</t>
  </si>
  <si>
    <t>Commission Kings</t>
  </si>
  <si>
    <t>Celestial Interface</t>
  </si>
  <si>
    <t>Stratos</t>
  </si>
  <si>
    <t>Red Butter</t>
  </si>
  <si>
    <t>Smart Brief Leadership</t>
  </si>
  <si>
    <t>A Night To Celebrate</t>
  </si>
  <si>
    <t>Fast Ball</t>
  </si>
  <si>
    <t>The Network</t>
  </si>
  <si>
    <t>Practice To Perfect</t>
  </si>
  <si>
    <t>Soul Spartans</t>
  </si>
  <si>
    <t>15 Five</t>
  </si>
  <si>
    <t>Wide Stringer</t>
  </si>
  <si>
    <t>Indie Profilers</t>
  </si>
  <si>
    <t>Leadership Insights</t>
  </si>
  <si>
    <t>Gob Geeklords</t>
  </si>
  <si>
    <t>Java Dalia</t>
  </si>
  <si>
    <t>Skill Up</t>
  </si>
  <si>
    <t>Excel And Elevate Training</t>
  </si>
  <si>
    <t>Wombat</t>
  </si>
  <si>
    <t>The Social Experiment</t>
  </si>
  <si>
    <t>Box Of Crayons</t>
  </si>
  <si>
    <t>The Domain Of Work</t>
  </si>
  <si>
    <t>Impact Training</t>
  </si>
  <si>
    <t>An Evening Affair</t>
  </si>
  <si>
    <t>Social Geek Made</t>
  </si>
  <si>
    <t>Sirius</t>
  </si>
  <si>
    <t>Fast Coding</t>
  </si>
  <si>
    <t>Super Happy Fun Time!</t>
  </si>
  <si>
    <t>Software Chasers</t>
  </si>
  <si>
    <t>The Discovery Of Era</t>
  </si>
  <si>
    <t>Strive Training</t>
  </si>
  <si>
    <t>Debug Entity</t>
  </si>
  <si>
    <t>Made By Me</t>
  </si>
  <si>
    <t>Revolution</t>
  </si>
  <si>
    <t>7Th Annual Workshop</t>
  </si>
  <si>
    <t>Initiation</t>
  </si>
  <si>
    <t>Planning</t>
  </si>
  <si>
    <t>Executing</t>
  </si>
  <si>
    <t>Closing</t>
  </si>
  <si>
    <t>Duration</t>
  </si>
  <si>
    <t>Income Generation</t>
  </si>
  <si>
    <t>Process Improvement</t>
  </si>
  <si>
    <t>Working Capital Improvement</t>
  </si>
  <si>
    <t>Cost Reduction</t>
  </si>
  <si>
    <t xml:space="preserve">Sum of  Project Benefit </t>
  </si>
  <si>
    <t>Row Labels</t>
  </si>
  <si>
    <t>Grand Total</t>
  </si>
  <si>
    <t>Count of Project Name</t>
  </si>
  <si>
    <t>Column Labels</t>
  </si>
  <si>
    <t>2021</t>
  </si>
  <si>
    <t>2022</t>
  </si>
  <si>
    <t>2023</t>
  </si>
  <si>
    <t>2024</t>
  </si>
  <si>
    <t>2025</t>
  </si>
  <si>
    <t xml:space="preserve">Cost </t>
  </si>
  <si>
    <t xml:space="preserve">Benefit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</si>
</sst>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0"/>
      <name val="Roboto"/>
    </font>
    <font>
      <sz val="9"/>
      <name val="Roboto"/>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49" fontId="19" fillId="33" borderId="0" xfId="0" applyNumberFormat="1" applyFont="1" applyFill="1"/>
    <xf numFmtId="14" fontId="19" fillId="33" borderId="0" xfId="0" applyNumberFormat="1" applyFont="1" applyFill="1"/>
    <xf numFmtId="1" fontId="19" fillId="33" borderId="0" xfId="0" applyNumberFormat="1" applyFont="1" applyFill="1"/>
    <xf numFmtId="164" fontId="19" fillId="33" borderId="0" xfId="0" applyNumberFormat="1" applyFont="1" applyFill="1"/>
    <xf numFmtId="0" fontId="19" fillId="33" borderId="0" xfId="0" applyFont="1" applyFill="1"/>
    <xf numFmtId="49" fontId="18" fillId="34" borderId="0" xfId="0" applyNumberFormat="1" applyFont="1" applyFill="1"/>
    <xf numFmtId="14" fontId="18" fillId="34" borderId="0" xfId="0" applyNumberFormat="1" applyFont="1" applyFill="1"/>
    <xf numFmtId="164" fontId="18" fillId="34" borderId="0" xfId="0" applyNumberFormat="1" applyFont="1" applyFill="1"/>
    <xf numFmtId="0" fontId="18" fillId="34" borderId="0" xfId="0" applyFont="1" applyFill="1"/>
    <xf numFmtId="0" fontId="0" fillId="35" borderId="0" xfId="0" applyFill="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sz val="14"/>
        <color theme="0"/>
        <name val="Bahnschrift Condensed"/>
        <family val="2"/>
        <scheme val="none"/>
      </font>
      <fill>
        <patternFill patternType="none">
          <bgColor auto="1"/>
        </patternFill>
      </fill>
    </dxf>
    <dxf>
      <font>
        <sz val="9"/>
        <name val="Roboto"/>
        <scheme val="none"/>
      </font>
      <fill>
        <patternFill patternType="solid">
          <fgColor theme="1" tint="0.14993743705557422"/>
          <bgColor theme="1" tint="0.14996795556505021"/>
        </patternFill>
      </fill>
      <border diagonalUp="0" diagonalDown="0">
        <left/>
        <right/>
        <top/>
        <bottom/>
        <vertical/>
        <horizontal/>
      </border>
    </dxf>
  </dxfs>
  <tableStyles count="1" defaultTableStyle="TableStyleMedium2" defaultPivotStyle="PivotStyleLight16">
    <tableStyle name="Project Style" pivot="0" table="0" count="6" xr9:uid="{FE4B6262-1033-4273-AE22-4CC4ED2C68E3}">
      <tableStyleElement type="wholeTable" dxfId="1"/>
      <tableStyleElement type="headerRow" dxfId="0"/>
    </tableStyle>
  </tableStyles>
  <colors>
    <mruColors>
      <color rgb="FF1D1D1D"/>
      <color rgb="FF323232"/>
      <color rgb="FF383838"/>
      <color rgb="FFEB701D"/>
      <color rgb="FFF09456"/>
      <color rgb="FF546782"/>
      <color rgb="FF0D0D0D"/>
    </mruColors>
  </colors>
  <extLst>
    <ext xmlns:x14="http://schemas.microsoft.com/office/spreadsheetml/2009/9/main" uri="{46F421CA-312F-682f-3DD2-61675219B42D}">
      <x14:dxfs count="4">
        <dxf>
          <font>
            <b/>
            <i val="0"/>
            <color rgb="FFFFC000"/>
          </font>
          <fill>
            <patternFill>
              <bgColor rgb="FF323232"/>
            </patternFill>
          </fill>
        </dxf>
        <dxf>
          <font>
            <b/>
            <i val="0"/>
            <color rgb="FFFFC000"/>
          </font>
        </dxf>
        <dxf>
          <font>
            <b/>
            <i val="0"/>
            <color theme="0" tint="-0.14996795556505021"/>
          </font>
          <fill>
            <patternFill patternType="solid">
              <bgColor rgb="FF1D1D1D"/>
            </patternFill>
          </fill>
          <border diagonalUp="0" diagonalDown="0">
            <left/>
            <right/>
            <top/>
            <bottom/>
            <vertical/>
            <horizontal/>
          </border>
        </dxf>
        <dxf>
          <font>
            <sz val="9"/>
            <color theme="1" tint="0.499984740745262"/>
            <name val="Roboto"/>
            <scheme val="none"/>
          </font>
          <fill>
            <patternFill patternType="none">
              <bgColor auto="1"/>
            </patternFill>
          </fill>
        </dxf>
      </x14:dxfs>
    </ext>
    <ext xmlns:x14="http://schemas.microsoft.com/office/spreadsheetml/2009/9/main" uri="{EB79DEF2-80B8-43e5-95BD-54CBDDF9020C}">
      <x14:slicerStyles defaultSlicerStyle="SlicerStyleLight1">
        <x14:slicerStyle name="Project Style">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[4-Dashboard.xlsx]Cost and Benefit by Manager!PivotTable1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and Benefit by Manager'!$B$3</c:f>
              <c:strCache>
                <c:ptCount val="1"/>
                <c:pt idx="0">
                  <c:v>Cost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'Cost and Benefit by Manager'!$A$4:$A$11</c:f>
              <c:strCache>
                <c:ptCount val="7"/>
                <c:pt idx="0">
                  <c:v>Aleena Khan</c:v>
                </c:pt>
                <c:pt idx="1">
                  <c:v>Brenda Chandler</c:v>
                </c:pt>
                <c:pt idx="2">
                  <c:v>Deacon Delacruz</c:v>
                </c:pt>
                <c:pt idx="3">
                  <c:v>Jaylyn Mckenzie</c:v>
                </c:pt>
                <c:pt idx="4">
                  <c:v>Kamari Norris</c:v>
                </c:pt>
                <c:pt idx="5">
                  <c:v>Nyasia Hunter</c:v>
                </c:pt>
                <c:pt idx="6">
                  <c:v>Yael Wilcox</c:v>
                </c:pt>
              </c:strCache>
            </c:strRef>
          </c:cat>
          <c:val>
            <c:numRef>
              <c:f>'Cost and Benefit by Manager'!$B$4:$B$11</c:f>
              <c:numCache>
                <c:formatCode>General</c:formatCode>
                <c:ptCount val="7"/>
                <c:pt idx="0">
                  <c:v>72488198</c:v>
                </c:pt>
                <c:pt idx="1">
                  <c:v>73119534</c:v>
                </c:pt>
                <c:pt idx="2">
                  <c:v>46157988</c:v>
                </c:pt>
                <c:pt idx="3">
                  <c:v>42904779</c:v>
                </c:pt>
                <c:pt idx="4">
                  <c:v>59486104</c:v>
                </c:pt>
                <c:pt idx="5">
                  <c:v>56109780</c:v>
                </c:pt>
                <c:pt idx="6">
                  <c:v>61241904</c:v>
                </c:pt>
              </c:numCache>
            </c:numRef>
          </c:val>
          <c:extLst>
            <c:ext xmlns:c16="http://schemas.microsoft.com/office/drawing/2014/chart" uri="{C3380CC4-5D6E-409C-BE32-E72D297353CC}">
              <c16:uniqueId val="{00000000-30BC-4253-BC53-90FB6096FAAE}"/>
            </c:ext>
          </c:extLst>
        </c:ser>
        <c:ser>
          <c:idx val="1"/>
          <c:order val="1"/>
          <c:tx>
            <c:strRef>
              <c:f>'Cost and Benefit by Manager'!$C$3</c:f>
              <c:strCache>
                <c:ptCount val="1"/>
                <c:pt idx="0">
                  <c:v>Benefit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'Cost and Benefit by Manager'!$A$4:$A$11</c:f>
              <c:strCache>
                <c:ptCount val="7"/>
                <c:pt idx="0">
                  <c:v>Aleena Khan</c:v>
                </c:pt>
                <c:pt idx="1">
                  <c:v>Brenda Chandler</c:v>
                </c:pt>
                <c:pt idx="2">
                  <c:v>Deacon Delacruz</c:v>
                </c:pt>
                <c:pt idx="3">
                  <c:v>Jaylyn Mckenzie</c:v>
                </c:pt>
                <c:pt idx="4">
                  <c:v>Kamari Norris</c:v>
                </c:pt>
                <c:pt idx="5">
                  <c:v>Nyasia Hunter</c:v>
                </c:pt>
                <c:pt idx="6">
                  <c:v>Yael Wilcox</c:v>
                </c:pt>
              </c:strCache>
            </c:strRef>
          </c:cat>
          <c:val>
            <c:numRef>
              <c:f>'Cost and Benefit by Manager'!$C$4:$C$11</c:f>
              <c:numCache>
                <c:formatCode>General</c:formatCode>
                <c:ptCount val="7"/>
                <c:pt idx="0">
                  <c:v>160832306</c:v>
                </c:pt>
                <c:pt idx="1">
                  <c:v>131698142</c:v>
                </c:pt>
                <c:pt idx="2">
                  <c:v>106471185</c:v>
                </c:pt>
                <c:pt idx="3">
                  <c:v>87608208</c:v>
                </c:pt>
                <c:pt idx="4">
                  <c:v>133906831</c:v>
                </c:pt>
                <c:pt idx="5">
                  <c:v>122222855</c:v>
                </c:pt>
                <c:pt idx="6">
                  <c:v>131250108</c:v>
                </c:pt>
              </c:numCache>
            </c:numRef>
          </c:val>
          <c:extLst>
            <c:ext xmlns:c16="http://schemas.microsoft.com/office/drawing/2014/chart" uri="{C3380CC4-5D6E-409C-BE32-E72D297353CC}">
              <c16:uniqueId val="{00000001-30BC-4253-BC53-90FB6096FAAE}"/>
            </c:ext>
          </c:extLst>
        </c:ser>
        <c:dLbls>
          <c:showLegendKey val="0"/>
          <c:showVal val="0"/>
          <c:showCatName val="0"/>
          <c:showSerName val="0"/>
          <c:showPercent val="0"/>
          <c:showBubbleSize val="0"/>
        </c:dLbls>
        <c:gapWidth val="315"/>
        <c:overlap val="-40"/>
        <c:axId val="65770496"/>
        <c:axId val="65768576"/>
      </c:barChart>
      <c:catAx>
        <c:axId val="6577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lumMod val="85000"/>
                  </a:schemeClr>
                </a:solidFill>
                <a:latin typeface="Roboto" panose="02000000000000000000" pitchFamily="2" charset="0"/>
                <a:ea typeface="Roboto" panose="02000000000000000000" pitchFamily="2" charset="0"/>
                <a:cs typeface="+mn-cs"/>
              </a:defRPr>
            </a:pPr>
            <a:endParaRPr lang="en-US"/>
          </a:p>
        </c:txPr>
        <c:crossAx val="65768576"/>
        <c:crosses val="autoZero"/>
        <c:auto val="1"/>
        <c:lblAlgn val="ctr"/>
        <c:lblOffset val="100"/>
        <c:noMultiLvlLbl val="0"/>
      </c:catAx>
      <c:valAx>
        <c:axId val="65768576"/>
        <c:scaling>
          <c:orientation val="minMax"/>
          <c:max val="180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crossAx val="65770496"/>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[4-Dashboard.xlsx]Project type &amp; Complexity!PivotTable2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'Project type &amp; Complexity'!$B$3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'Project type &amp; Complexity'!$A$4:$A$20</c:f>
              <c:multiLvlStrCache>
                <c:ptCount val="12"/>
                <c:lvl>
                  <c:pt idx="0">
                    <c:v>High</c:v>
                  </c:pt>
                  <c:pt idx="1">
                    <c:v>Low</c:v>
                  </c:pt>
                  <c:pt idx="2">
                    <c:v>Medium</c:v>
                  </c:pt>
                  <c:pt idx="3">
                    <c:v>High</c:v>
                  </c:pt>
                  <c:pt idx="4">
                    <c:v>Low</c:v>
                  </c:pt>
                  <c:pt idx="5">
                    <c:v>Medium</c:v>
                  </c:pt>
                  <c:pt idx="6">
                    <c:v>High</c:v>
                  </c:pt>
                  <c:pt idx="7">
                    <c:v>Low</c:v>
                  </c:pt>
                  <c:pt idx="8">
                    <c:v>Medium</c:v>
                  </c:pt>
                  <c:pt idx="9">
                    <c:v>High</c:v>
                  </c:pt>
                  <c:pt idx="10">
                    <c:v>Low</c:v>
                  </c:pt>
                  <c:pt idx="11">
                    <c:v>Medium</c:v>
                  </c:pt>
                </c:lvl>
                <c:lvl>
                  <c:pt idx="0">
                    <c:v>Cost Reduction</c:v>
                  </c:pt>
                  <c:pt idx="3">
                    <c:v>Income Generation</c:v>
                  </c:pt>
                  <c:pt idx="6">
                    <c:v>Process Improvement</c:v>
                  </c:pt>
                  <c:pt idx="9">
                    <c:v>Working Capital Improvement</c:v>
                  </c:pt>
                </c:lvl>
              </c:multiLvlStrCache>
            </c:multiLvlStrRef>
          </c:cat>
          <c:val>
            <c:numRef>
              <c:f>'Project type &amp; Complexity'!$B$4:$B$20</c:f>
              <c:numCache>
                <c:formatCode>General</c:formatCode>
                <c:ptCount val="12"/>
                <c:pt idx="0">
                  <c:v>8</c:v>
                </c:pt>
                <c:pt idx="1">
                  <c:v>7</c:v>
                </c:pt>
                <c:pt idx="2">
                  <c:v>7</c:v>
                </c:pt>
                <c:pt idx="3">
                  <c:v>13</c:v>
                </c:pt>
                <c:pt idx="4">
                  <c:v>9</c:v>
                </c:pt>
                <c:pt idx="5">
                  <c:v>5</c:v>
                </c:pt>
                <c:pt idx="6">
                  <c:v>10</c:v>
                </c:pt>
                <c:pt idx="7">
                  <c:v>10</c:v>
                </c:pt>
                <c:pt idx="8">
                  <c:v>5</c:v>
                </c:pt>
                <c:pt idx="9">
                  <c:v>9</c:v>
                </c:pt>
                <c:pt idx="10">
                  <c:v>4</c:v>
                </c:pt>
                <c:pt idx="11">
                  <c:v>12</c:v>
                </c:pt>
              </c:numCache>
            </c:numRef>
          </c:val>
          <c:extLst>
            <c:ext xmlns:c16="http://schemas.microsoft.com/office/drawing/2014/chart" uri="{C3380CC4-5D6E-409C-BE32-E72D297353CC}">
              <c16:uniqueId val="{00000000-699B-4AF1-83F9-4D6F645FB695}"/>
            </c:ext>
          </c:extLst>
        </c:ser>
        <c:dLbls>
          <c:showLegendKey val="0"/>
          <c:showVal val="0"/>
          <c:showCatName val="0"/>
          <c:showSerName val="0"/>
          <c:showPercent val="0"/>
          <c:showBubbleSize val="0"/>
        </c:dLbls>
        <c:gapWidth val="182"/>
        <c:overlap val="-50"/>
        <c:axId val="1250003088"/>
        <c:axId val="1250004048"/>
      </c:barChart>
      <c:catAx>
        <c:axId val="1250003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50000"/>
                  </a:schemeClr>
                </a:solidFill>
                <a:latin typeface="Roboto" panose="02000000000000000000" pitchFamily="2" charset="0"/>
                <a:ea typeface="Roboto" panose="02000000000000000000" pitchFamily="2" charset="0"/>
                <a:cs typeface="+mn-cs"/>
              </a:defRPr>
            </a:pPr>
            <a:endParaRPr lang="en-US"/>
          </a:p>
        </c:txPr>
        <c:crossAx val="1250004048"/>
        <c:crosses val="autoZero"/>
        <c:auto val="1"/>
        <c:lblAlgn val="ctr"/>
        <c:lblOffset val="100"/>
        <c:noMultiLvlLbl val="0"/>
      </c:catAx>
      <c:valAx>
        <c:axId val="1250004048"/>
        <c:scaling>
          <c:orientation val="minMax"/>
        </c:scaling>
        <c:delete val="1"/>
        <c:axPos val="b"/>
        <c:numFmt formatCode="General" sourceLinked="1"/>
        <c:majorTickMark val="none"/>
        <c:minorTickMark val="none"/>
        <c:tickLblPos val="nextTo"/>
        <c:crossAx val="125000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[4-Dashboard.xlsx]Benefit &amp; Cost by region!PivotTable3</c:name>
    <c:fmtId val="7"/>
  </c:pivotSource>
  <c:chart>
    <c:autoTitleDeleted val="0"/>
    <c:pivotFmts>
      <c:pivotFmt>
        <c:idx val="0"/>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'Benefit &amp; Cost by region'!$B$3</c:f>
              <c:strCache>
                <c:ptCount val="1"/>
                <c:pt idx="0">
                  <c:v>Benefit </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'Benefit &amp; Cost by region'!$A$4:$A$8</c:f>
              <c:strCache>
                <c:ptCount val="4"/>
                <c:pt idx="0">
                  <c:v>East</c:v>
                </c:pt>
                <c:pt idx="1">
                  <c:v>North</c:v>
                </c:pt>
                <c:pt idx="2">
                  <c:v>South</c:v>
                </c:pt>
                <c:pt idx="3">
                  <c:v>West</c:v>
                </c:pt>
              </c:strCache>
            </c:strRef>
          </c:cat>
          <c:val>
            <c:numRef>
              <c:f>'Benefit &amp; Cost by region'!$B$4:$B$8</c:f>
              <c:numCache>
                <c:formatCode>General</c:formatCode>
                <c:ptCount val="4"/>
                <c:pt idx="0">
                  <c:v>176032687</c:v>
                </c:pt>
                <c:pt idx="1">
                  <c:v>300878329</c:v>
                </c:pt>
                <c:pt idx="2">
                  <c:v>184731871</c:v>
                </c:pt>
                <c:pt idx="3">
                  <c:v>212346748</c:v>
                </c:pt>
              </c:numCache>
            </c:numRef>
          </c:val>
          <c:extLst>
            <c:ext xmlns:c16="http://schemas.microsoft.com/office/drawing/2014/chart" uri="{C3380CC4-5D6E-409C-BE32-E72D297353CC}">
              <c16:uniqueId val="{00000000-6624-456F-A8A9-712A7E4470D2}"/>
            </c:ext>
          </c:extLst>
        </c:ser>
        <c:ser>
          <c:idx val="1"/>
          <c:order val="1"/>
          <c:tx>
            <c:strRef>
              <c:f>'Benefit &amp; Cost by region'!$C$3</c:f>
              <c:strCache>
                <c:ptCount val="1"/>
                <c:pt idx="0">
                  <c:v>Cost </c:v>
                </c:pt>
              </c:strCache>
            </c:strRef>
          </c:tx>
          <c:spPr>
            <a:solidFill>
              <a:schemeClr val="accent2">
                <a:alpha val="69804"/>
              </a:schemeClr>
            </a:solidFill>
            <a:ln w="9525" cap="flat" cmpd="sng" algn="ctr">
              <a:solidFill>
                <a:schemeClr val="accent2">
                  <a:alpha val="69804"/>
                </a:schemeClr>
              </a:solidFill>
              <a:miter lim="800000"/>
            </a:ln>
            <a:effectLst>
              <a:glow rad="76200">
                <a:schemeClr val="accent2">
                  <a:satMod val="175000"/>
                  <a:alpha val="34000"/>
                </a:schemeClr>
              </a:glow>
            </a:effectLst>
          </c:spPr>
          <c:cat>
            <c:strRef>
              <c:f>'Benefit &amp; Cost by region'!$A$4:$A$8</c:f>
              <c:strCache>
                <c:ptCount val="4"/>
                <c:pt idx="0">
                  <c:v>East</c:v>
                </c:pt>
                <c:pt idx="1">
                  <c:v>North</c:v>
                </c:pt>
                <c:pt idx="2">
                  <c:v>South</c:v>
                </c:pt>
                <c:pt idx="3">
                  <c:v>West</c:v>
                </c:pt>
              </c:strCache>
            </c:strRef>
          </c:cat>
          <c:val>
            <c:numRef>
              <c:f>'Benefit &amp; Cost by region'!$C$4:$C$8</c:f>
              <c:numCache>
                <c:formatCode>General</c:formatCode>
                <c:ptCount val="4"/>
                <c:pt idx="0">
                  <c:v>83967074</c:v>
                </c:pt>
                <c:pt idx="1">
                  <c:v>140684150</c:v>
                </c:pt>
                <c:pt idx="2">
                  <c:v>87668114</c:v>
                </c:pt>
                <c:pt idx="3">
                  <c:v>99188949</c:v>
                </c:pt>
              </c:numCache>
            </c:numRef>
          </c:val>
          <c:extLst>
            <c:ext xmlns:c16="http://schemas.microsoft.com/office/drawing/2014/chart" uri="{C3380CC4-5D6E-409C-BE32-E72D297353CC}">
              <c16:uniqueId val="{00000001-6624-456F-A8A9-712A7E4470D2}"/>
            </c:ext>
          </c:extLst>
        </c:ser>
        <c:dLbls>
          <c:showLegendKey val="0"/>
          <c:showVal val="0"/>
          <c:showCatName val="0"/>
          <c:showSerName val="0"/>
          <c:showPercent val="0"/>
          <c:showBubbleSize val="0"/>
        </c:dLbls>
        <c:axId val="257963632"/>
        <c:axId val="257962672"/>
      </c:radarChart>
      <c:catAx>
        <c:axId val="25796363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crossAx val="257962672"/>
        <c:crosses val="autoZero"/>
        <c:auto val="1"/>
        <c:lblAlgn val="ctr"/>
        <c:lblOffset val="100"/>
        <c:noMultiLvlLbl val="0"/>
      </c:catAx>
      <c:valAx>
        <c:axId val="257962672"/>
        <c:scaling>
          <c:orientation val="minMax"/>
        </c:scaling>
        <c:delete val="1"/>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crossAx val="25796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[4-Dashboard.xlsx]Benefit by Department!PivotTable4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'Benefit by Department'!$B$3</c:f>
              <c:strCache>
                <c:ptCount val="1"/>
                <c:pt idx="0">
                  <c:v>Total</c:v>
                </c:pt>
              </c:strCache>
            </c:strRef>
          </c:tx>
          <c:dPt>
            <c:idx val="0"/>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F7-4AA0-8BED-E013EC14FCFC}"/>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F7-4AA0-8BED-E013EC14FCFC}"/>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F7-4AA0-8BED-E013EC14FCFC}"/>
              </c:ext>
            </c:extLst>
          </c:dPt>
          <c:dPt>
            <c:idx val="3"/>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F7-4AA0-8BED-E013EC14FCFC}"/>
              </c:ext>
            </c:extLst>
          </c:dPt>
          <c:dPt>
            <c:idx val="4"/>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9F7-4AA0-8BED-E013EC14FCFC}"/>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Roboto" panose="02000000000000000000" pitchFamily="2" charset="0"/>
                    <a:ea typeface="Roboto" panose="02000000000000000000" pitchFamily="2" charset="0"/>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'Benefit by Department'!$A$4:$A$9</c:f>
              <c:strCache>
                <c:ptCount val="5"/>
                <c:pt idx="0">
                  <c:v>Admin &amp; BI</c:v>
                </c:pt>
                <c:pt idx="1">
                  <c:v>eCommerce</c:v>
                </c:pt>
                <c:pt idx="2">
                  <c:v>Sales and Marketing</c:v>
                </c:pt>
                <c:pt idx="3">
                  <c:v>Supply Chain</c:v>
                </c:pt>
                <c:pt idx="4">
                  <c:v>Warehouse</c:v>
                </c:pt>
              </c:strCache>
            </c:strRef>
          </c:cat>
          <c:val>
            <c:numRef>
              <c:f>'Benefit by Department'!$B$4:$B$9</c:f>
              <c:numCache>
                <c:formatCode>General</c:formatCode>
                <c:ptCount val="5"/>
                <c:pt idx="0">
                  <c:v>158908740</c:v>
                </c:pt>
                <c:pt idx="1">
                  <c:v>177389272</c:v>
                </c:pt>
                <c:pt idx="2">
                  <c:v>122623333</c:v>
                </c:pt>
                <c:pt idx="3">
                  <c:v>212420554</c:v>
                </c:pt>
                <c:pt idx="4">
                  <c:v>202647736</c:v>
                </c:pt>
              </c:numCache>
            </c:numRef>
          </c:val>
          <c:extLst>
            <c:ext xmlns:c16="http://schemas.microsoft.com/office/drawing/2014/chart" uri="{C3380CC4-5D6E-409C-BE32-E72D297353CC}">
              <c16:uniqueId val="{0000000A-D9F7-4AA0-8BED-E013EC14FCFC}"/>
            </c:ext>
          </c:extLst>
        </c:ser>
        <c:dLbls>
          <c:dLblPos val="inEnd"/>
          <c:showLegendKey val="0"/>
          <c:showVal val="0"/>
          <c:showCatName val="1"/>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Roboto" panose="02000000000000000000" pitchFamily="2" charset="0"/>
              <a:ea typeface="Roboto" panose="02000000000000000000" pitchFamily="2"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[4-Dashboard.xlsx]number of project by status!PivotTable5</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 of project by status'!$B$3:$B$4</c:f>
              <c:strCache>
                <c:ptCount val="1"/>
                <c:pt idx="0">
                  <c:v>Cancelled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'number of project by status'!$A$5:$A$10</c:f>
              <c:strCache>
                <c:ptCount val="5"/>
                <c:pt idx="0">
                  <c:v>2021</c:v>
                </c:pt>
                <c:pt idx="1">
                  <c:v>2022</c:v>
                </c:pt>
                <c:pt idx="2">
                  <c:v>2023</c:v>
                </c:pt>
                <c:pt idx="3">
                  <c:v>2024</c:v>
                </c:pt>
                <c:pt idx="4">
                  <c:v>2025</c:v>
                </c:pt>
              </c:strCache>
            </c:strRef>
          </c:cat>
          <c:val>
            <c:numRef>
              <c:f>'number of project by status'!$B$5:$B$10</c:f>
              <c:numCache>
                <c:formatCode>General</c:formatCode>
                <c:ptCount val="5"/>
                <c:pt idx="0">
                  <c:v>7</c:v>
                </c:pt>
                <c:pt idx="1">
                  <c:v>9</c:v>
                </c:pt>
                <c:pt idx="2">
                  <c:v>4</c:v>
                </c:pt>
                <c:pt idx="3">
                  <c:v>6</c:v>
                </c:pt>
                <c:pt idx="4">
                  <c:v>1</c:v>
                </c:pt>
              </c:numCache>
            </c:numRef>
          </c:val>
          <c:smooth val="0"/>
          <c:extLst>
            <c:ext xmlns:c16="http://schemas.microsoft.com/office/drawing/2014/chart" uri="{C3380CC4-5D6E-409C-BE32-E72D297353CC}">
              <c16:uniqueId val="{00000000-FD2E-4008-8042-D3413A053B6F}"/>
            </c:ext>
          </c:extLst>
        </c:ser>
        <c:ser>
          <c:idx val="1"/>
          <c:order val="1"/>
          <c:tx>
            <c:strRef>
              <c:f>'number of project by status'!$C$3:$C$4</c:f>
              <c:strCache>
                <c:ptCount val="1"/>
                <c:pt idx="0">
                  <c:v>Completed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'number of project by status'!$A$5:$A$10</c:f>
              <c:strCache>
                <c:ptCount val="5"/>
                <c:pt idx="0">
                  <c:v>2021</c:v>
                </c:pt>
                <c:pt idx="1">
                  <c:v>2022</c:v>
                </c:pt>
                <c:pt idx="2">
                  <c:v>2023</c:v>
                </c:pt>
                <c:pt idx="3">
                  <c:v>2024</c:v>
                </c:pt>
                <c:pt idx="4">
                  <c:v>2025</c:v>
                </c:pt>
              </c:strCache>
            </c:strRef>
          </c:cat>
          <c:val>
            <c:numRef>
              <c:f>'number of project by status'!$C$5:$C$10</c:f>
              <c:numCache>
                <c:formatCode>General</c:formatCode>
                <c:ptCount val="5"/>
                <c:pt idx="0">
                  <c:v>9</c:v>
                </c:pt>
                <c:pt idx="1">
                  <c:v>6</c:v>
                </c:pt>
                <c:pt idx="2">
                  <c:v>4</c:v>
                </c:pt>
                <c:pt idx="3">
                  <c:v>5</c:v>
                </c:pt>
                <c:pt idx="4">
                  <c:v>6</c:v>
                </c:pt>
              </c:numCache>
            </c:numRef>
          </c:val>
          <c:smooth val="0"/>
          <c:extLst>
            <c:ext xmlns:c16="http://schemas.microsoft.com/office/drawing/2014/chart" uri="{C3380CC4-5D6E-409C-BE32-E72D297353CC}">
              <c16:uniqueId val="{00000005-FD2E-4008-8042-D3413A053B6F}"/>
            </c:ext>
          </c:extLst>
        </c:ser>
        <c:ser>
          <c:idx val="2"/>
          <c:order val="2"/>
          <c:tx>
            <c:strRef>
              <c:f>'number of project by status'!$D$3:$D$4</c:f>
              <c:strCache>
                <c:ptCount val="1"/>
                <c:pt idx="0">
                  <c:v>In - Progress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'number of project by status'!$A$5:$A$10</c:f>
              <c:strCache>
                <c:ptCount val="5"/>
                <c:pt idx="0">
                  <c:v>2021</c:v>
                </c:pt>
                <c:pt idx="1">
                  <c:v>2022</c:v>
                </c:pt>
                <c:pt idx="2">
                  <c:v>2023</c:v>
                </c:pt>
                <c:pt idx="3">
                  <c:v>2024</c:v>
                </c:pt>
                <c:pt idx="4">
                  <c:v>2025</c:v>
                </c:pt>
              </c:strCache>
            </c:strRef>
          </c:cat>
          <c:val>
            <c:numRef>
              <c:f>'number of project by status'!$D$5:$D$10</c:f>
              <c:numCache>
                <c:formatCode>General</c:formatCode>
                <c:ptCount val="5"/>
                <c:pt idx="0">
                  <c:v>5</c:v>
                </c:pt>
                <c:pt idx="1">
                  <c:v>9</c:v>
                </c:pt>
                <c:pt idx="2">
                  <c:v>4</c:v>
                </c:pt>
                <c:pt idx="3">
                  <c:v>2</c:v>
                </c:pt>
                <c:pt idx="4">
                  <c:v>5</c:v>
                </c:pt>
              </c:numCache>
            </c:numRef>
          </c:val>
          <c:smooth val="0"/>
          <c:extLst>
            <c:ext xmlns:c16="http://schemas.microsoft.com/office/drawing/2014/chart" uri="{C3380CC4-5D6E-409C-BE32-E72D297353CC}">
              <c16:uniqueId val="{00000006-FD2E-4008-8042-D3413A053B6F}"/>
            </c:ext>
          </c:extLst>
        </c:ser>
        <c:ser>
          <c:idx val="3"/>
          <c:order val="3"/>
          <c:tx>
            <c:strRef>
              <c:f>'number of project by status'!$E$3:$E$4</c:f>
              <c:strCache>
                <c:ptCount val="1"/>
                <c:pt idx="0">
                  <c:v>On - Hold</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'number of project by status'!$A$5:$A$10</c:f>
              <c:strCache>
                <c:ptCount val="5"/>
                <c:pt idx="0">
                  <c:v>2021</c:v>
                </c:pt>
                <c:pt idx="1">
                  <c:v>2022</c:v>
                </c:pt>
                <c:pt idx="2">
                  <c:v>2023</c:v>
                </c:pt>
                <c:pt idx="3">
                  <c:v>2024</c:v>
                </c:pt>
                <c:pt idx="4">
                  <c:v>2025</c:v>
                </c:pt>
              </c:strCache>
            </c:strRef>
          </c:cat>
          <c:val>
            <c:numRef>
              <c:f>'number of project by status'!$E$5:$E$10</c:f>
              <c:numCache>
                <c:formatCode>General</c:formatCode>
                <c:ptCount val="5"/>
                <c:pt idx="0">
                  <c:v>2</c:v>
                </c:pt>
                <c:pt idx="1">
                  <c:v>3</c:v>
                </c:pt>
                <c:pt idx="2">
                  <c:v>5</c:v>
                </c:pt>
                <c:pt idx="3">
                  <c:v>3</c:v>
                </c:pt>
                <c:pt idx="4">
                  <c:v>4</c:v>
                </c:pt>
              </c:numCache>
            </c:numRef>
          </c:val>
          <c:smooth val="0"/>
          <c:extLst>
            <c:ext xmlns:c16="http://schemas.microsoft.com/office/drawing/2014/chart" uri="{C3380CC4-5D6E-409C-BE32-E72D297353CC}">
              <c16:uniqueId val="{00000008-FD2E-4008-8042-D3413A053B6F}"/>
            </c:ext>
          </c:extLst>
        </c:ser>
        <c:dLbls>
          <c:showLegendKey val="0"/>
          <c:showVal val="0"/>
          <c:showCatName val="0"/>
          <c:showSerName val="0"/>
          <c:showPercent val="0"/>
          <c:showBubbleSize val="0"/>
        </c:dLbls>
        <c:marker val="1"/>
        <c:smooth val="0"/>
        <c:axId val="65769536"/>
        <c:axId val="65771456"/>
      </c:lineChart>
      <c:catAx>
        <c:axId val="65769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crossAx val="65771456"/>
        <c:crosses val="autoZero"/>
        <c:auto val="1"/>
        <c:lblAlgn val="ctr"/>
        <c:lblOffset val="100"/>
        <c:noMultiLvlLbl val="0"/>
      </c:catAx>
      <c:valAx>
        <c:axId val="6577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crossAx val="6576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Roboto" panose="02000000000000000000" pitchFamily="2" charset="0"/>
              <a:ea typeface="Roboto" panose="02000000000000000000" pitchFamily="2"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image" Target="../media/image2.svg"/><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7.png"/><Relationship Id="rId4" Type="http://schemas.openxmlformats.org/officeDocument/2006/relationships/chart" Target="../charts/chart2.xml"/><Relationship Id="rId9" Type="http://schemas.openxmlformats.org/officeDocument/2006/relationships/chart" Target="../charts/chart3.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7</xdr:col>
      <xdr:colOff>380999</xdr:colOff>
      <xdr:row>0</xdr:row>
      <xdr:rowOff>127000</xdr:rowOff>
    </xdr:from>
    <xdr:to>
      <xdr:col>21</xdr:col>
      <xdr:colOff>598714</xdr:colOff>
      <xdr:row>19</xdr:row>
      <xdr:rowOff>81643</xdr:rowOff>
    </xdr:to>
    <xdr:sp macro="" textlink="">
      <xdr:nvSpPr>
        <xdr:cNvPr id="2" name="Rectangle 1">
          <a:extLst>
            <a:ext uri="{FF2B5EF4-FFF2-40B4-BE49-F238E27FC236}">
              <a16:creationId xmlns:a16="http://schemas.microsoft.com/office/drawing/2014/main" id="{5980E6FF-F7BB-56D7-C643-C42CB3D946D4}"/>
            </a:ext>
          </a:extLst>
        </xdr:cNvPr>
        <xdr:cNvSpPr/>
      </xdr:nvSpPr>
      <xdr:spPr>
        <a:xfrm>
          <a:off x="4635499" y="127000"/>
          <a:ext cx="8726715" cy="3401786"/>
        </a:xfrm>
        <a:prstGeom prst="rect">
          <a:avLst/>
        </a:prstGeom>
        <a:solidFill>
          <a:schemeClr val="bg2">
            <a:lumMod val="1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127001</xdr:colOff>
      <xdr:row>20</xdr:row>
      <xdr:rowOff>78694</xdr:rowOff>
    </xdr:from>
    <xdr:to>
      <xdr:col>6</xdr:col>
      <xdr:colOff>552451</xdr:colOff>
      <xdr:row>45</xdr:row>
      <xdr:rowOff>51479</xdr:rowOff>
    </xdr:to>
    <xdr:sp macro="" textlink="">
      <xdr:nvSpPr>
        <xdr:cNvPr id="3" name="Rectangle 2">
          <a:extLst>
            <a:ext uri="{FF2B5EF4-FFF2-40B4-BE49-F238E27FC236}">
              <a16:creationId xmlns:a16="http://schemas.microsoft.com/office/drawing/2014/main" id="{03F7DB42-9AEE-4C7E-9E9E-C6F8F63E1EF2}"/>
            </a:ext>
          </a:extLst>
        </xdr:cNvPr>
        <xdr:cNvSpPr/>
      </xdr:nvSpPr>
      <xdr:spPr>
        <a:xfrm>
          <a:off x="127001" y="3707265"/>
          <a:ext cx="4072164" cy="4508500"/>
        </a:xfrm>
        <a:prstGeom prst="rect">
          <a:avLst/>
        </a:prstGeom>
        <a:solidFill>
          <a:schemeClr val="bg2">
            <a:lumMod val="1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b="1">
            <a:latin typeface="Roboto" panose="02000000000000000000" pitchFamily="2" charset="0"/>
            <a:ea typeface="Roboto" panose="02000000000000000000" pitchFamily="2" charset="0"/>
          </a:endParaRPr>
        </a:p>
      </xdr:txBody>
    </xdr:sp>
    <xdr:clientData/>
  </xdr:twoCellAnchor>
  <xdr:twoCellAnchor>
    <xdr:from>
      <xdr:col>22</xdr:col>
      <xdr:colOff>147864</xdr:colOff>
      <xdr:row>0</xdr:row>
      <xdr:rowOff>125187</xdr:rowOff>
    </xdr:from>
    <xdr:to>
      <xdr:col>27</xdr:col>
      <xdr:colOff>52615</xdr:colOff>
      <xdr:row>45</xdr:row>
      <xdr:rowOff>27215</xdr:rowOff>
    </xdr:to>
    <xdr:sp macro="" textlink="">
      <xdr:nvSpPr>
        <xdr:cNvPr id="6" name="Rectangle 5">
          <a:extLst>
            <a:ext uri="{FF2B5EF4-FFF2-40B4-BE49-F238E27FC236}">
              <a16:creationId xmlns:a16="http://schemas.microsoft.com/office/drawing/2014/main" id="{84A6A394-9819-421B-B851-1C52ED9DE0C0}"/>
            </a:ext>
          </a:extLst>
        </xdr:cNvPr>
        <xdr:cNvSpPr/>
      </xdr:nvSpPr>
      <xdr:spPr>
        <a:xfrm>
          <a:off x="13519150" y="125187"/>
          <a:ext cx="2943679" cy="8066314"/>
        </a:xfrm>
        <a:prstGeom prst="rect">
          <a:avLst/>
        </a:prstGeom>
        <a:solidFill>
          <a:schemeClr val="bg2">
            <a:lumMod val="1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172359</xdr:colOff>
      <xdr:row>23</xdr:row>
      <xdr:rowOff>76199</xdr:rowOff>
    </xdr:from>
    <xdr:to>
      <xdr:col>6</xdr:col>
      <xdr:colOff>408215</xdr:colOff>
      <xdr:row>44</xdr:row>
      <xdr:rowOff>63500</xdr:rowOff>
    </xdr:to>
    <xdr:graphicFrame macro="">
      <xdr:nvGraphicFramePr>
        <xdr:cNvPr id="7" name="Chart 6">
          <a:extLst>
            <a:ext uri="{FF2B5EF4-FFF2-40B4-BE49-F238E27FC236}">
              <a16:creationId xmlns:a16="http://schemas.microsoft.com/office/drawing/2014/main" id="{31571F10-464A-4675-8ECF-1ACE53892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107042</xdr:colOff>
      <xdr:row>20</xdr:row>
      <xdr:rowOff>102960</xdr:rowOff>
    </xdr:from>
    <xdr:to>
      <xdr:col>21</xdr:col>
      <xdr:colOff>532492</xdr:colOff>
      <xdr:row>45</xdr:row>
      <xdr:rowOff>27214</xdr:rowOff>
    </xdr:to>
    <xdr:sp macro="" textlink="">
      <xdr:nvSpPr>
        <xdr:cNvPr id="8" name="Rectangle 7">
          <a:extLst>
            <a:ext uri="{FF2B5EF4-FFF2-40B4-BE49-F238E27FC236}">
              <a16:creationId xmlns:a16="http://schemas.microsoft.com/office/drawing/2014/main" id="{2E365C02-5C32-43F3-85F6-437FB2314F55}"/>
            </a:ext>
          </a:extLst>
        </xdr:cNvPr>
        <xdr:cNvSpPr/>
      </xdr:nvSpPr>
      <xdr:spPr>
        <a:xfrm>
          <a:off x="9223828" y="3731531"/>
          <a:ext cx="4072164" cy="4459969"/>
        </a:xfrm>
        <a:prstGeom prst="rect">
          <a:avLst/>
        </a:prstGeom>
        <a:solidFill>
          <a:schemeClr val="bg2">
            <a:lumMod val="1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420915</xdr:colOff>
      <xdr:row>20</xdr:row>
      <xdr:rowOff>80281</xdr:rowOff>
    </xdr:from>
    <xdr:to>
      <xdr:col>14</xdr:col>
      <xdr:colOff>238579</xdr:colOff>
      <xdr:row>45</xdr:row>
      <xdr:rowOff>49892</xdr:rowOff>
    </xdr:to>
    <xdr:sp macro="" textlink="">
      <xdr:nvSpPr>
        <xdr:cNvPr id="9" name="Rectangle 8">
          <a:extLst>
            <a:ext uri="{FF2B5EF4-FFF2-40B4-BE49-F238E27FC236}">
              <a16:creationId xmlns:a16="http://schemas.microsoft.com/office/drawing/2014/main" id="{E6B90E84-0AC4-4AAD-BB8E-EAAE61F452E9}"/>
            </a:ext>
          </a:extLst>
        </xdr:cNvPr>
        <xdr:cNvSpPr/>
      </xdr:nvSpPr>
      <xdr:spPr>
        <a:xfrm>
          <a:off x="4675415" y="3708852"/>
          <a:ext cx="4072164" cy="4505326"/>
        </a:xfrm>
        <a:prstGeom prst="rect">
          <a:avLst/>
        </a:prstGeom>
        <a:solidFill>
          <a:schemeClr val="bg2">
            <a:lumMod val="1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453572</xdr:colOff>
      <xdr:row>21</xdr:row>
      <xdr:rowOff>17689</xdr:rowOff>
    </xdr:from>
    <xdr:ext cx="2916439" cy="338554"/>
    <xdr:sp macro="" textlink="">
      <xdr:nvSpPr>
        <xdr:cNvPr id="10" name="TextBox 9">
          <a:extLst>
            <a:ext uri="{FF2B5EF4-FFF2-40B4-BE49-F238E27FC236}">
              <a16:creationId xmlns:a16="http://schemas.microsoft.com/office/drawing/2014/main" id="{BA02A533-4FC2-9EF8-2E61-CC02D39E78EE}"/>
            </a:ext>
          </a:extLst>
        </xdr:cNvPr>
        <xdr:cNvSpPr txBox="1"/>
      </xdr:nvSpPr>
      <xdr:spPr>
        <a:xfrm>
          <a:off x="453572" y="3827689"/>
          <a:ext cx="2916439"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latin typeface="Bahnschrift SemiLight SemiConde" panose="020B0502040204020203" pitchFamily="34" charset="0"/>
            </a:rPr>
            <a:t>Cost &amp; Benefit</a:t>
          </a:r>
          <a:r>
            <a:rPr lang="en-US" sz="1600" b="1" baseline="0">
              <a:solidFill>
                <a:schemeClr val="bg1"/>
              </a:solidFill>
              <a:latin typeface="Bahnschrift SemiLight SemiConde" panose="020B0502040204020203" pitchFamily="34" charset="0"/>
            </a:rPr>
            <a:t> by Project Manager</a:t>
          </a:r>
          <a:endParaRPr lang="en-US" sz="1600" b="1">
            <a:solidFill>
              <a:schemeClr val="bg1"/>
            </a:solidFill>
            <a:latin typeface="Bahnschrift SemiLight SemiConde" panose="020B0502040204020203" pitchFamily="34" charset="0"/>
          </a:endParaRPr>
        </a:p>
      </xdr:txBody>
    </xdr:sp>
    <xdr:clientData/>
  </xdr:oneCellAnchor>
  <xdr:twoCellAnchor editAs="oneCell">
    <xdr:from>
      <xdr:col>0</xdr:col>
      <xdr:colOff>145144</xdr:colOff>
      <xdr:row>21</xdr:row>
      <xdr:rowOff>19145</xdr:rowOff>
    </xdr:from>
    <xdr:to>
      <xdr:col>0</xdr:col>
      <xdr:colOff>480786</xdr:colOff>
      <xdr:row>22</xdr:row>
      <xdr:rowOff>173358</xdr:rowOff>
    </xdr:to>
    <xdr:pic>
      <xdr:nvPicPr>
        <xdr:cNvPr id="12" name="Graphic 11" descr="Male profile with solid fill">
          <a:extLst>
            <a:ext uri="{FF2B5EF4-FFF2-40B4-BE49-F238E27FC236}">
              <a16:creationId xmlns:a16="http://schemas.microsoft.com/office/drawing/2014/main" id="{9D1B65D2-E240-F6F6-ADF3-466F5E5D2D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5144" y="3829145"/>
          <a:ext cx="335642" cy="335642"/>
        </a:xfrm>
        <a:prstGeom prst="rect">
          <a:avLst/>
        </a:prstGeom>
      </xdr:spPr>
    </xdr:pic>
    <xdr:clientData/>
  </xdr:twoCellAnchor>
  <xdr:twoCellAnchor>
    <xdr:from>
      <xdr:col>22</xdr:col>
      <xdr:colOff>299357</xdr:colOff>
      <xdr:row>3</xdr:row>
      <xdr:rowOff>99785</xdr:rowOff>
    </xdr:from>
    <xdr:to>
      <xdr:col>26</xdr:col>
      <xdr:colOff>508000</xdr:colOff>
      <xdr:row>44</xdr:row>
      <xdr:rowOff>27214</xdr:rowOff>
    </xdr:to>
    <xdr:graphicFrame macro="">
      <xdr:nvGraphicFramePr>
        <xdr:cNvPr id="13" name="Chart 12">
          <a:extLst>
            <a:ext uri="{FF2B5EF4-FFF2-40B4-BE49-F238E27FC236}">
              <a16:creationId xmlns:a16="http://schemas.microsoft.com/office/drawing/2014/main" id="{2B0CDD98-C75E-4611-A61D-0F44A7499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22</xdr:col>
      <xdr:colOff>542471</xdr:colOff>
      <xdr:row>0</xdr:row>
      <xdr:rowOff>179616</xdr:rowOff>
    </xdr:from>
    <xdr:ext cx="2275495" cy="338554"/>
    <xdr:sp macro="" textlink="">
      <xdr:nvSpPr>
        <xdr:cNvPr id="14" name="TextBox 13">
          <a:extLst>
            <a:ext uri="{FF2B5EF4-FFF2-40B4-BE49-F238E27FC236}">
              <a16:creationId xmlns:a16="http://schemas.microsoft.com/office/drawing/2014/main" id="{E3D7EFB1-581E-4BCF-B84B-42BBF1FE5FF2}"/>
            </a:ext>
          </a:extLst>
        </xdr:cNvPr>
        <xdr:cNvSpPr txBox="1"/>
      </xdr:nvSpPr>
      <xdr:spPr>
        <a:xfrm>
          <a:off x="13913757" y="179616"/>
          <a:ext cx="2275495"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latin typeface="Bahnschrift SemiLight SemiConde" panose="020B0502040204020203" pitchFamily="34" charset="0"/>
            </a:rPr>
            <a:t>Project</a:t>
          </a:r>
          <a:r>
            <a:rPr lang="en-US" sz="1600" b="1" baseline="0">
              <a:solidFill>
                <a:schemeClr val="bg1"/>
              </a:solidFill>
              <a:latin typeface="Bahnschrift SemiLight SemiConde" panose="020B0502040204020203" pitchFamily="34" charset="0"/>
            </a:rPr>
            <a:t> Type &amp; Complexity</a:t>
          </a:r>
          <a:endParaRPr lang="en-US" sz="1600" b="1">
            <a:solidFill>
              <a:schemeClr val="bg1"/>
            </a:solidFill>
            <a:latin typeface="Bahnschrift SemiLight SemiConde" panose="020B0502040204020203" pitchFamily="34" charset="0"/>
          </a:endParaRPr>
        </a:p>
      </xdr:txBody>
    </xdr:sp>
    <xdr:clientData/>
  </xdr:oneCellAnchor>
  <xdr:twoCellAnchor editAs="oneCell">
    <xdr:from>
      <xdr:col>22</xdr:col>
      <xdr:colOff>235856</xdr:colOff>
      <xdr:row>0</xdr:row>
      <xdr:rowOff>172358</xdr:rowOff>
    </xdr:from>
    <xdr:to>
      <xdr:col>22</xdr:col>
      <xdr:colOff>544286</xdr:colOff>
      <xdr:row>2</xdr:row>
      <xdr:rowOff>117931</xdr:rowOff>
    </xdr:to>
    <xdr:pic>
      <xdr:nvPicPr>
        <xdr:cNvPr id="16" name="Graphic 15" descr="Network with solid fill">
          <a:extLst>
            <a:ext uri="{FF2B5EF4-FFF2-40B4-BE49-F238E27FC236}">
              <a16:creationId xmlns:a16="http://schemas.microsoft.com/office/drawing/2014/main" id="{FD58E409-E1CC-F6C4-8B48-8F830CDC2D0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07142" y="172358"/>
          <a:ext cx="308430" cy="308430"/>
        </a:xfrm>
        <a:prstGeom prst="rect">
          <a:avLst/>
        </a:prstGeom>
      </xdr:spPr>
    </xdr:pic>
    <xdr:clientData/>
  </xdr:twoCellAnchor>
  <xdr:oneCellAnchor>
    <xdr:from>
      <xdr:col>8</xdr:col>
      <xdr:colOff>107042</xdr:colOff>
      <xdr:row>21</xdr:row>
      <xdr:rowOff>17689</xdr:rowOff>
    </xdr:from>
    <xdr:ext cx="2142190" cy="338554"/>
    <xdr:sp macro="" textlink="">
      <xdr:nvSpPr>
        <xdr:cNvPr id="18" name="TextBox 17">
          <a:extLst>
            <a:ext uri="{FF2B5EF4-FFF2-40B4-BE49-F238E27FC236}">
              <a16:creationId xmlns:a16="http://schemas.microsoft.com/office/drawing/2014/main" id="{49302410-C1EB-471F-BADF-CAE8FD99C1E0}"/>
            </a:ext>
          </a:extLst>
        </xdr:cNvPr>
        <xdr:cNvSpPr txBox="1"/>
      </xdr:nvSpPr>
      <xdr:spPr>
        <a:xfrm>
          <a:off x="4969328" y="3827689"/>
          <a:ext cx="2142190"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latin typeface="Bahnschrift SemiLight SemiConde" panose="020B0502040204020203" pitchFamily="34" charset="0"/>
            </a:rPr>
            <a:t>Cost &amp; Benefit</a:t>
          </a:r>
          <a:r>
            <a:rPr lang="en-US" sz="1600" b="1" baseline="0">
              <a:solidFill>
                <a:schemeClr val="bg1"/>
              </a:solidFill>
              <a:latin typeface="Bahnschrift SemiLight SemiConde" panose="020B0502040204020203" pitchFamily="34" charset="0"/>
            </a:rPr>
            <a:t> by Region</a:t>
          </a:r>
          <a:endParaRPr lang="en-US" sz="1600" b="1">
            <a:solidFill>
              <a:schemeClr val="bg1"/>
            </a:solidFill>
            <a:latin typeface="Bahnschrift SemiLight SemiConde" panose="020B0502040204020203" pitchFamily="34" charset="0"/>
          </a:endParaRPr>
        </a:p>
      </xdr:txBody>
    </xdr:sp>
    <xdr:clientData/>
  </xdr:oneCellAnchor>
  <xdr:twoCellAnchor editAs="oneCell">
    <xdr:from>
      <xdr:col>7</xdr:col>
      <xdr:colOff>399143</xdr:colOff>
      <xdr:row>20</xdr:row>
      <xdr:rowOff>173359</xdr:rowOff>
    </xdr:from>
    <xdr:to>
      <xdr:col>8</xdr:col>
      <xdr:colOff>181430</xdr:colOff>
      <xdr:row>23</xdr:row>
      <xdr:rowOff>19146</xdr:rowOff>
    </xdr:to>
    <xdr:pic>
      <xdr:nvPicPr>
        <xdr:cNvPr id="20" name="Graphic 19" descr="Marker with solid fill">
          <a:extLst>
            <a:ext uri="{FF2B5EF4-FFF2-40B4-BE49-F238E27FC236}">
              <a16:creationId xmlns:a16="http://schemas.microsoft.com/office/drawing/2014/main" id="{0B2D6D9D-25F8-539A-55D7-2D1ED4D3C29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653643" y="3801930"/>
          <a:ext cx="390073" cy="390073"/>
        </a:xfrm>
        <a:prstGeom prst="rect">
          <a:avLst/>
        </a:prstGeom>
      </xdr:spPr>
    </xdr:pic>
    <xdr:clientData/>
  </xdr:twoCellAnchor>
  <xdr:twoCellAnchor>
    <xdr:from>
      <xdr:col>7</xdr:col>
      <xdr:colOff>335643</xdr:colOff>
      <xdr:row>23</xdr:row>
      <xdr:rowOff>145143</xdr:rowOff>
    </xdr:from>
    <xdr:to>
      <xdr:col>13</xdr:col>
      <xdr:colOff>598715</xdr:colOff>
      <xdr:row>43</xdr:row>
      <xdr:rowOff>163286</xdr:rowOff>
    </xdr:to>
    <xdr:graphicFrame macro="">
      <xdr:nvGraphicFramePr>
        <xdr:cNvPr id="21" name="Chart 20">
          <a:extLst>
            <a:ext uri="{FF2B5EF4-FFF2-40B4-BE49-F238E27FC236}">
              <a16:creationId xmlns:a16="http://schemas.microsoft.com/office/drawing/2014/main" id="{5BCD6A8B-F010-40A1-9827-A5C275E37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15</xdr:col>
      <xdr:colOff>531585</xdr:colOff>
      <xdr:row>21</xdr:row>
      <xdr:rowOff>17689</xdr:rowOff>
    </xdr:from>
    <xdr:ext cx="3142142" cy="338554"/>
    <xdr:sp macro="" textlink="">
      <xdr:nvSpPr>
        <xdr:cNvPr id="22" name="TextBox 21">
          <a:extLst>
            <a:ext uri="{FF2B5EF4-FFF2-40B4-BE49-F238E27FC236}">
              <a16:creationId xmlns:a16="http://schemas.microsoft.com/office/drawing/2014/main" id="{9A5E6AF8-1630-46CF-97A2-CC3423628797}"/>
            </a:ext>
          </a:extLst>
        </xdr:cNvPr>
        <xdr:cNvSpPr txBox="1"/>
      </xdr:nvSpPr>
      <xdr:spPr>
        <a:xfrm>
          <a:off x="9648371" y="3827689"/>
          <a:ext cx="3142142"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latin typeface="Bahnschrift SemiLight SemiConde" panose="020B0502040204020203" pitchFamily="34" charset="0"/>
            </a:rPr>
            <a:t>Percentage</a:t>
          </a:r>
          <a:r>
            <a:rPr lang="en-US" sz="1600" b="1" baseline="0">
              <a:solidFill>
                <a:schemeClr val="bg1"/>
              </a:solidFill>
              <a:latin typeface="Bahnschrift SemiLight SemiConde" panose="020B0502040204020203" pitchFamily="34" charset="0"/>
            </a:rPr>
            <a:t> of </a:t>
          </a:r>
          <a:r>
            <a:rPr lang="en-US" sz="1600" b="1">
              <a:solidFill>
                <a:schemeClr val="bg1"/>
              </a:solidFill>
              <a:latin typeface="Bahnschrift SemiLight SemiConde" panose="020B0502040204020203" pitchFamily="34" charset="0"/>
            </a:rPr>
            <a:t>Benefit</a:t>
          </a:r>
          <a:r>
            <a:rPr lang="en-US" sz="1600" b="1" baseline="0">
              <a:solidFill>
                <a:schemeClr val="bg1"/>
              </a:solidFill>
              <a:latin typeface="Bahnschrift SemiLight SemiConde" panose="020B0502040204020203" pitchFamily="34" charset="0"/>
            </a:rPr>
            <a:t> by Department</a:t>
          </a:r>
          <a:endParaRPr lang="en-US" sz="1600" b="1">
            <a:solidFill>
              <a:schemeClr val="bg1"/>
            </a:solidFill>
            <a:latin typeface="Bahnschrift SemiLight SemiConde" panose="020B0502040204020203" pitchFamily="34" charset="0"/>
          </a:endParaRPr>
        </a:p>
      </xdr:txBody>
    </xdr:sp>
    <xdr:clientData/>
  </xdr:oneCellAnchor>
  <xdr:twoCellAnchor editAs="oneCell">
    <xdr:from>
      <xdr:col>15</xdr:col>
      <xdr:colOff>181426</xdr:colOff>
      <xdr:row>21</xdr:row>
      <xdr:rowOff>14610</xdr:rowOff>
    </xdr:from>
    <xdr:to>
      <xdr:col>15</xdr:col>
      <xdr:colOff>526139</xdr:colOff>
      <xdr:row>22</xdr:row>
      <xdr:rowOff>177894</xdr:rowOff>
    </xdr:to>
    <xdr:pic>
      <xdr:nvPicPr>
        <xdr:cNvPr id="25" name="Graphic 24" descr="Building with solid fill">
          <a:extLst>
            <a:ext uri="{FF2B5EF4-FFF2-40B4-BE49-F238E27FC236}">
              <a16:creationId xmlns:a16="http://schemas.microsoft.com/office/drawing/2014/main" id="{C9108159-BA39-CD09-4CB9-56464736F8B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9298212" y="3824610"/>
          <a:ext cx="344713" cy="344713"/>
        </a:xfrm>
        <a:prstGeom prst="rect">
          <a:avLst/>
        </a:prstGeom>
      </xdr:spPr>
    </xdr:pic>
    <xdr:clientData/>
  </xdr:twoCellAnchor>
  <xdr:twoCellAnchor>
    <xdr:from>
      <xdr:col>15</xdr:col>
      <xdr:colOff>154214</xdr:colOff>
      <xdr:row>28</xdr:row>
      <xdr:rowOff>63502</xdr:rowOff>
    </xdr:from>
    <xdr:to>
      <xdr:col>21</xdr:col>
      <xdr:colOff>272144</xdr:colOff>
      <xdr:row>39</xdr:row>
      <xdr:rowOff>172360</xdr:rowOff>
    </xdr:to>
    <xdr:graphicFrame macro="">
      <xdr:nvGraphicFramePr>
        <xdr:cNvPr id="26" name="Chart 25">
          <a:extLst>
            <a:ext uri="{FF2B5EF4-FFF2-40B4-BE49-F238E27FC236}">
              <a16:creationId xmlns:a16="http://schemas.microsoft.com/office/drawing/2014/main" id="{35CEA9A6-2E52-4F42-83CC-75ED9FBEF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8</xdr:col>
      <xdr:colOff>205014</xdr:colOff>
      <xdr:row>1</xdr:row>
      <xdr:rowOff>24493</xdr:rowOff>
    </xdr:from>
    <xdr:ext cx="2413674" cy="338554"/>
    <xdr:sp macro="" textlink="">
      <xdr:nvSpPr>
        <xdr:cNvPr id="27" name="TextBox 26">
          <a:extLst>
            <a:ext uri="{FF2B5EF4-FFF2-40B4-BE49-F238E27FC236}">
              <a16:creationId xmlns:a16="http://schemas.microsoft.com/office/drawing/2014/main" id="{039B17F7-B6B0-4778-A58E-9E7CEB9D8421}"/>
            </a:ext>
          </a:extLst>
        </xdr:cNvPr>
        <xdr:cNvSpPr txBox="1"/>
      </xdr:nvSpPr>
      <xdr:spPr>
        <a:xfrm>
          <a:off x="5067300" y="205922"/>
          <a:ext cx="2413674"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latin typeface="Bahnschrift SemiLight SemiConde" panose="020B0502040204020203" pitchFamily="34" charset="0"/>
            </a:rPr>
            <a:t>Project Status by</a:t>
          </a:r>
          <a:r>
            <a:rPr lang="en-US" sz="1600" b="1" baseline="0">
              <a:solidFill>
                <a:schemeClr val="bg1"/>
              </a:solidFill>
              <a:latin typeface="Bahnschrift SemiLight SemiConde" panose="020B0502040204020203" pitchFamily="34" charset="0"/>
            </a:rPr>
            <a:t> Start Date</a:t>
          </a:r>
          <a:endParaRPr lang="en-US" sz="1600" b="1">
            <a:solidFill>
              <a:schemeClr val="bg1"/>
            </a:solidFill>
            <a:latin typeface="Bahnschrift SemiLight SemiConde" panose="020B0502040204020203" pitchFamily="34" charset="0"/>
          </a:endParaRPr>
        </a:p>
      </xdr:txBody>
    </xdr:sp>
    <xdr:clientData/>
  </xdr:oneCellAnchor>
  <xdr:twoCellAnchor editAs="oneCell">
    <xdr:from>
      <xdr:col>7</xdr:col>
      <xdr:colOff>471715</xdr:colOff>
      <xdr:row>1</xdr:row>
      <xdr:rowOff>9071</xdr:rowOff>
    </xdr:from>
    <xdr:to>
      <xdr:col>8</xdr:col>
      <xdr:colOff>199571</xdr:colOff>
      <xdr:row>2</xdr:row>
      <xdr:rowOff>163285</xdr:rowOff>
    </xdr:to>
    <xdr:pic>
      <xdr:nvPicPr>
        <xdr:cNvPr id="29" name="Graphic 28" descr="Checkmark with solid fill">
          <a:extLst>
            <a:ext uri="{FF2B5EF4-FFF2-40B4-BE49-F238E27FC236}">
              <a16:creationId xmlns:a16="http://schemas.microsoft.com/office/drawing/2014/main" id="{41832433-CD5D-1F5D-976E-781BBC77C8F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726215" y="190500"/>
          <a:ext cx="335642" cy="335642"/>
        </a:xfrm>
        <a:prstGeom prst="rect">
          <a:avLst/>
        </a:prstGeom>
      </xdr:spPr>
    </xdr:pic>
    <xdr:clientData/>
  </xdr:twoCellAnchor>
  <xdr:twoCellAnchor>
    <xdr:from>
      <xdr:col>7</xdr:col>
      <xdr:colOff>535215</xdr:colOff>
      <xdr:row>3</xdr:row>
      <xdr:rowOff>45357</xdr:rowOff>
    </xdr:from>
    <xdr:to>
      <xdr:col>21</xdr:col>
      <xdr:colOff>444500</xdr:colOff>
      <xdr:row>18</xdr:row>
      <xdr:rowOff>108857</xdr:rowOff>
    </xdr:to>
    <xdr:graphicFrame macro="">
      <xdr:nvGraphicFramePr>
        <xdr:cNvPr id="30" name="Chart 29">
          <a:extLst>
            <a:ext uri="{FF2B5EF4-FFF2-40B4-BE49-F238E27FC236}">
              <a16:creationId xmlns:a16="http://schemas.microsoft.com/office/drawing/2014/main" id="{C5E66ADE-225F-47CE-852F-334C7354E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58963</xdr:colOff>
      <xdr:row>9</xdr:row>
      <xdr:rowOff>130176</xdr:rowOff>
    </xdr:from>
    <xdr:to>
      <xdr:col>2</xdr:col>
      <xdr:colOff>362857</xdr:colOff>
      <xdr:row>20</xdr:row>
      <xdr:rowOff>36286</xdr:rowOff>
    </xdr:to>
    <mc:AlternateContent xmlns:mc="http://schemas.openxmlformats.org/markup-compatibility/2006">
      <mc:Choice xmlns:a14="http://schemas.microsoft.com/office/drawing/2010/main" Requires="a14">
        <xdr:graphicFrame macro="">
          <xdr:nvGraphicFramePr>
            <xdr:cNvPr id="32" name="Department">
              <a:extLst>
                <a:ext uri="{FF2B5EF4-FFF2-40B4-BE49-F238E27FC236}">
                  <a16:creationId xmlns:a16="http://schemas.microsoft.com/office/drawing/2014/main" id="{4EE72965-3253-6D30-5A19-8ED9691211F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8963" y="1763033"/>
              <a:ext cx="1519465" cy="1901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22676</xdr:colOff>
      <xdr:row>9</xdr:row>
      <xdr:rowOff>152854</xdr:rowOff>
    </xdr:from>
    <xdr:to>
      <xdr:col>7</xdr:col>
      <xdr:colOff>27214</xdr:colOff>
      <xdr:row>18</xdr:row>
      <xdr:rowOff>63501</xdr:rowOff>
    </xdr:to>
    <mc:AlternateContent xmlns:mc="http://schemas.openxmlformats.org/markup-compatibility/2006">
      <mc:Choice xmlns:a14="http://schemas.microsoft.com/office/drawing/2010/main" Requires="a14">
        <xdr:graphicFrame macro="">
          <xdr:nvGraphicFramePr>
            <xdr:cNvPr id="34" name="Region">
              <a:extLst>
                <a:ext uri="{FF2B5EF4-FFF2-40B4-BE49-F238E27FC236}">
                  <a16:creationId xmlns:a16="http://schemas.microsoft.com/office/drawing/2014/main" id="{A91EAFCF-72CF-166B-A60D-816C799240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61605" y="1785711"/>
              <a:ext cx="1220109" cy="1543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462644</xdr:colOff>
      <xdr:row>9</xdr:row>
      <xdr:rowOff>127908</xdr:rowOff>
    </xdr:from>
    <xdr:to>
      <xdr:col>4</xdr:col>
      <xdr:colOff>453572</xdr:colOff>
      <xdr:row>19</xdr:row>
      <xdr:rowOff>172357</xdr:rowOff>
    </xdr:to>
    <mc:AlternateContent xmlns:mc="http://schemas.openxmlformats.org/markup-compatibility/2006">
      <mc:Choice xmlns:a14="http://schemas.microsoft.com/office/drawing/2010/main" Requires="a14">
        <xdr:graphicFrame macro="">
          <xdr:nvGraphicFramePr>
            <xdr:cNvPr id="37" name="Years">
              <a:extLst>
                <a:ext uri="{FF2B5EF4-FFF2-40B4-BE49-F238E27FC236}">
                  <a16:creationId xmlns:a16="http://schemas.microsoft.com/office/drawing/2014/main" id="{55357418-9744-B5CB-A689-8F3A9A8A9215}"/>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678215" y="1760765"/>
              <a:ext cx="1206500" cy="1858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152401</xdr:colOff>
      <xdr:row>1</xdr:row>
      <xdr:rowOff>52160</xdr:rowOff>
    </xdr:from>
    <xdr:ext cx="4066754" cy="1077474"/>
    <xdr:sp macro="" textlink="">
      <xdr:nvSpPr>
        <xdr:cNvPr id="54" name="TextBox 53">
          <a:extLst>
            <a:ext uri="{FF2B5EF4-FFF2-40B4-BE49-F238E27FC236}">
              <a16:creationId xmlns:a16="http://schemas.microsoft.com/office/drawing/2014/main" id="{77901F08-8707-44C5-A18F-9F7E4262271F}"/>
            </a:ext>
          </a:extLst>
        </xdr:cNvPr>
        <xdr:cNvSpPr txBox="1"/>
      </xdr:nvSpPr>
      <xdr:spPr>
        <a:xfrm>
          <a:off x="152401" y="233589"/>
          <a:ext cx="4066754" cy="1077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chemeClr val="bg1"/>
              </a:solidFill>
              <a:latin typeface="Bahnschrift SemiLight SemiConde" panose="020B0502040204020203" pitchFamily="34" charset="0"/>
            </a:rPr>
            <a:t>PROJECT</a:t>
          </a:r>
          <a:r>
            <a:rPr lang="en-US" sz="3200" b="1" baseline="0">
              <a:solidFill>
                <a:schemeClr val="bg1"/>
              </a:solidFill>
              <a:latin typeface="Bahnschrift SemiLight SemiConde" panose="020B0502040204020203" pitchFamily="34" charset="0"/>
            </a:rPr>
            <a:t> MANAGEMENT </a:t>
          </a:r>
        </a:p>
        <a:p>
          <a:r>
            <a:rPr lang="en-US" sz="3200" b="1" baseline="0">
              <a:solidFill>
                <a:schemeClr val="bg1"/>
              </a:solidFill>
              <a:latin typeface="Bahnschrift SemiLight SemiConde" panose="020B0502040204020203" pitchFamily="34" charset="0"/>
            </a:rPr>
            <a:t>DASHBOARD</a:t>
          </a:r>
          <a:endParaRPr lang="en-US" sz="3200" b="1">
            <a:solidFill>
              <a:schemeClr val="bg1"/>
            </a:solidFill>
            <a:latin typeface="Bahnschrift SemiLight SemiConde" panose="020B05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rdad mansourdehghan" refreshedDate="45038.87416122685" createdVersion="8" refreshedVersion="8" minRefreshableVersion="3" recordCount="99" xr:uid="{D88AEFB6-33D7-420B-81AE-C6414330CE6E}">
  <cacheSource type="worksheet">
    <worksheetSource ref="A1:M100" sheet="Project 04"/>
  </cacheSource>
  <cacheFields count="15">
    <cacheField name="Project Name" numFmtId="49">
      <sharedItems count="99">
        <s v="Great Leadership"/>
        <s v="Orange Leaders"/>
        <s v="Wombat"/>
        <s v="Annual Award Show"/>
        <s v="Wide Stringer"/>
        <s v="Coding League"/>
        <s v="Road-To-Success Workshop"/>
        <s v="Project Explained"/>
        <s v="Active Achievement"/>
        <s v="Static Startup"/>
        <s v="Limitless Horizons"/>
        <s v="No-Bull Bootcamp"/>
        <s v="The Wonders Of Geek"/>
        <s v="Mentee To Mentor"/>
        <s v="Yoda"/>
        <s v="The Discovery Of Era"/>
        <s v="Rhinestone"/>
        <s v="Disruptor Training"/>
        <s v="A Salute To New Workers"/>
        <s v="Social Geek Made"/>
        <s v="A Triumph Of Softwares"/>
        <s v="Linkage, Inc."/>
        <s v="Celestial Interface"/>
        <s v="Box Of Crayons"/>
        <s v="Commission Kings"/>
        <s v="Soul Spartans"/>
        <s v="Switch And Swift"/>
        <s v="Red Butter"/>
        <s v="Revolution"/>
        <s v="Hex Clan"/>
        <s v="Skyhawks"/>
        <s v="Search Engine Master"/>
        <s v="Match Of Health"/>
        <s v="Smart Brief Leadership"/>
        <s v="Town Hall Meeting"/>
        <s v="The Success"/>
        <s v="Charged By Codes"/>
        <s v="Center For Creative Coding"/>
        <s v="Java Dalia"/>
        <s v="Excalibur Training"/>
        <s v="The Art Of Codes"/>
        <s v="Remembering Our Ancestors"/>
        <s v="Meetup For The Good"/>
        <s v="Stratos"/>
        <s v="Gob Geeklords"/>
        <s v="The Principal Of Change"/>
        <s v="Leadership Insights"/>
        <s v="The Coding Master"/>
        <s v="An Evening Affair"/>
        <s v="Associations Now"/>
        <s v="7Th Annual Workshop"/>
        <s v="Super Happy Fun Time!"/>
        <s v="Leadership Minds"/>
        <s v="Yaeger"/>
        <s v="Fast &amp; Creative Gang"/>
        <s v="Open Source Pundits"/>
        <s v="Excel And Elevate Training"/>
        <s v="Indie Profilers"/>
        <s v="Passion Chasers"/>
        <s v="The Domain Of Work"/>
        <s v="Moving Bird"/>
        <s v="Impact Training"/>
        <s v="Coding Region"/>
        <s v="Software Chasers"/>
        <s v="The Successful Project"/>
        <s v="The Social Experiment"/>
        <s v="The Morning Ceremony"/>
        <s v="School Leadership 2.0"/>
        <s v="Yosemite"/>
        <s v="Evening Shindig"/>
        <s v="Code Change Group"/>
        <s v="The Coding Awards"/>
        <s v="The Network"/>
        <s v="Strive Training"/>
        <s v="Made By Me"/>
        <s v="Fast Ball"/>
        <s v="Fast Coding"/>
        <s v="Code Poltergeists"/>
        <s v="The Experienced Dude"/>
        <s v="Next Gala"/>
        <s v="Fierce, Inc."/>
        <s v="The Code Honors"/>
        <s v="Yellow Moose"/>
        <s v="15 Five"/>
        <s v="The Guy With Codes"/>
        <s v="Sirius"/>
        <s v="Sputnik"/>
        <s v="Skill Up"/>
        <s v="Debug Entity"/>
        <s v="Ceremony Worthy Of Time"/>
        <s v="A Night To Celebrate"/>
        <s v="The Blue Bird"/>
        <s v="Only Project Experience"/>
        <s v="Enter Coding"/>
        <s v="White Feather"/>
        <s v="Practice To Perfect"/>
        <s v="Robust Routine"/>
        <s v="The Coding Expert"/>
        <s v="Mo-Money Masterclass"/>
      </sharedItems>
    </cacheField>
    <cacheField name="Project Type" numFmtId="49">
      <sharedItems count="4">
        <s v="Income Generation"/>
        <s v="Process Improvement"/>
        <s v="Working Capital Improvement"/>
        <s v="Cost Reduction"/>
      </sharedItems>
    </cacheField>
    <cacheField name="Project Manager" numFmtId="49">
      <sharedItems count="7">
        <s v="Aleena Khan"/>
        <s v="Brenda Chandler"/>
        <s v="Deacon Delacruz"/>
        <s v="Jaylyn Mckenzie"/>
        <s v="Kamari Norris"/>
        <s v="Nyasia Hunter"/>
        <s v="Yael Wilcox"/>
      </sharedItems>
    </cacheField>
    <cacheField name="Department" numFmtId="49">
      <sharedItems count="5">
        <s v="Admin &amp; BI"/>
        <s v="eCommerce"/>
        <s v="Sales and Marketing"/>
        <s v="Supply Chain"/>
        <s v="Warehouse"/>
      </sharedItems>
    </cacheField>
    <cacheField name="Complexity" numFmtId="49">
      <sharedItems count="3">
        <s v="High"/>
        <s v="Medium"/>
        <s v="Low"/>
      </sharedItems>
    </cacheField>
    <cacheField name="Region" numFmtId="49">
      <sharedItems count="4">
        <s v="West"/>
        <s v="North"/>
        <s v="East"/>
        <s v="South"/>
      </sharedItems>
    </cacheField>
    <cacheField name="Start Date" numFmtId="14">
      <sharedItems containsSemiMixedTypes="0" containsNonDate="0" containsDate="1" containsString="0" minDate="2021-02-01T00:00:00" maxDate="2025-12-02T00:00:00" count="49">
        <d v="2022-04-01T00:00:00"/>
        <d v="2022-05-01T00:00:00"/>
        <d v="2024-12-01T00:00:00"/>
        <d v="2021-10-01T00:00:00"/>
        <d v="2024-10-01T00:00:00"/>
        <d v="2023-08-01T00:00:00"/>
        <d v="2022-12-01T00:00:00"/>
        <d v="2023-11-01T00:00:00"/>
        <d v="2021-11-01T00:00:00"/>
        <d v="2021-12-01T00:00:00"/>
        <d v="2021-08-01T00:00:00"/>
        <d v="2022-09-01T00:00:00"/>
        <d v="2021-09-01T00:00:00"/>
        <d v="2022-11-01T00:00:00"/>
        <d v="2022-07-01T00:00:00"/>
        <d v="2025-08-01T00:00:00"/>
        <d v="2021-02-01T00:00:00"/>
        <d v="2021-05-01T00:00:00"/>
        <d v="2025-06-01T00:00:00"/>
        <d v="2021-03-01T00:00:00"/>
        <d v="2022-06-01T00:00:00"/>
        <d v="2025-01-01T00:00:00"/>
        <d v="2024-09-01T00:00:00"/>
        <d v="2021-06-01T00:00:00"/>
        <d v="2024-02-01T00:00:00"/>
        <d v="2025-11-01T00:00:00"/>
        <d v="2021-07-01T00:00:00"/>
        <d v="2024-03-01T00:00:00"/>
        <d v="2024-11-01T00:00:00"/>
        <d v="2022-02-01T00:00:00"/>
        <d v="2023-07-01T00:00:00"/>
        <d v="2023-09-01T00:00:00"/>
        <d v="2023-12-01T00:00:00"/>
        <d v="2025-05-01T00:00:00"/>
        <d v="2025-12-01T00:00:00"/>
        <d v="2025-07-01T00:00:00"/>
        <d v="2022-08-01T00:00:00"/>
        <d v="2025-04-01T00:00:00"/>
        <d v="2023-05-01T00:00:00"/>
        <d v="2022-01-01T00:00:00"/>
        <d v="2022-10-01T00:00:00"/>
        <d v="2023-01-01T00:00:00"/>
        <d v="2024-08-01T00:00:00"/>
        <d v="2024-07-01T00:00:00"/>
        <d v="2022-03-01T00:00:00"/>
        <d v="2021-04-01T00:00:00"/>
        <d v="2023-02-01T00:00:00"/>
        <d v="2025-09-01T00:00:00"/>
        <d v="2024-04-01T00:00:00"/>
      </sharedItems>
      <fieldGroup par="14" base="6">
        <rangePr groupBy="months" startDate="2021-02-01T00:00:00" endDate="2025-12-02T00:00:00"/>
        <groupItems count="14">
          <s v="&lt;2/1/2021"/>
          <s v="Jan"/>
          <s v="Feb"/>
          <s v="Mar"/>
          <s v="Apr"/>
          <s v="May"/>
          <s v="Jun"/>
          <s v="Jul"/>
          <s v="Aug"/>
          <s v="Sep"/>
          <s v="Oct"/>
          <s v="Nov"/>
          <s v="Dec"/>
          <s v="&gt;12/2/2025"/>
        </groupItems>
      </fieldGroup>
    </cacheField>
    <cacheField name="End Date" numFmtId="14">
      <sharedItems containsSemiMixedTypes="0" containsNonDate="0" containsDate="1" containsString="0" minDate="2021-06-01T00:00:00" maxDate="2026-03-02T00:00:00" count="43">
        <d v="2022-07-01T00:00:00"/>
        <d v="2022-08-01T00:00:00"/>
        <d v="2025-03-01T00:00:00"/>
        <d v="2022-01-01T00:00:00"/>
        <d v="2025-01-01T00:00:00"/>
        <d v="2023-11-01T00:00:00"/>
        <d v="2023-03-01T00:00:00"/>
        <d v="2024-02-01T00:00:00"/>
        <d v="2022-03-01T00:00:00"/>
        <d v="2021-11-01T00:00:00"/>
        <d v="2022-12-01T00:00:00"/>
        <d v="2021-12-01T00:00:00"/>
        <d v="2022-10-01T00:00:00"/>
        <d v="2025-11-01T00:00:00"/>
        <d v="2021-06-01T00:00:00"/>
        <d v="2021-08-01T00:00:00"/>
        <d v="2025-09-01T00:00:00"/>
        <d v="2022-09-01T00:00:00"/>
        <d v="2025-05-01T00:00:00"/>
        <d v="2024-12-01T00:00:00"/>
        <d v="2021-09-01T00:00:00"/>
        <d v="2024-05-01T00:00:00"/>
        <d v="2026-03-01T00:00:00"/>
        <d v="2021-10-01T00:00:00"/>
        <d v="2024-06-01T00:00:00"/>
        <d v="2022-06-01T00:00:00"/>
        <d v="2023-10-01T00:00:00"/>
        <d v="2023-12-01T00:00:00"/>
        <d v="2024-03-01T00:00:00"/>
        <d v="2025-08-01T00:00:00"/>
        <d v="2025-10-01T00:00:00"/>
        <d v="2022-11-01T00:00:00"/>
        <d v="2025-07-01T00:00:00"/>
        <d v="2023-08-01T00:00:00"/>
        <d v="2022-05-01T00:00:00"/>
        <d v="2023-01-01T00:00:00"/>
        <d v="2023-05-01T00:00:00"/>
        <d v="2024-11-01T00:00:00"/>
        <d v="2024-10-01T00:00:00"/>
        <d v="2021-07-01T00:00:00"/>
        <d v="2023-06-01T00:00:00"/>
        <d v="2025-12-01T00:00:00"/>
        <d v="2024-07-01T00:00:00"/>
      </sharedItems>
    </cacheField>
    <cacheField name="Duration" numFmtId="1">
      <sharedItems containsSemiMixedTypes="0" containsString="0" containsNumber="1" containsInteger="1" minValue="90" maxValue="120" count="4">
        <n v="91"/>
        <n v="92"/>
        <n v="90"/>
        <n v="120"/>
      </sharedItems>
    </cacheField>
    <cacheField name=" Project Cost " numFmtId="164">
      <sharedItems containsSemiMixedTypes="0" containsString="0" containsNumber="1" containsInteger="1" minValue="2418301" maxValue="5974815" count="99">
        <n v="5609775"/>
        <n v="4502248"/>
        <n v="3652611"/>
        <n v="5505123"/>
        <n v="4009744"/>
        <n v="5949337"/>
        <n v="4646988"/>
        <n v="5156291"/>
        <n v="2548471"/>
        <n v="5869643"/>
        <n v="4413449"/>
        <n v="2745999"/>
        <n v="3440225"/>
        <n v="5072095"/>
        <n v="5859707"/>
        <n v="4908311"/>
        <n v="3648615"/>
        <n v="3508173"/>
        <n v="2534102"/>
        <n v="2681420"/>
        <n v="4018835"/>
        <n v="5913478"/>
        <n v="4569504"/>
        <n v="4286305"/>
        <n v="3014053"/>
        <n v="2418301"/>
        <n v="4170710"/>
        <n v="4603061"/>
        <n v="4606575"/>
        <n v="3478794"/>
        <n v="5785601"/>
        <n v="3787473"/>
        <n v="4172827"/>
        <n v="4505046"/>
        <n v="3442649"/>
        <n v="2631019"/>
        <n v="5044306"/>
        <n v="2931685"/>
        <n v="2781408"/>
        <n v="3814857"/>
        <n v="5643858"/>
        <n v="5285864"/>
        <n v="2745287"/>
        <n v="2429395"/>
        <n v="5732006"/>
        <n v="3730999"/>
        <n v="3526630"/>
        <n v="3326031"/>
        <n v="3685580"/>
        <n v="2450782"/>
        <n v="5054482"/>
        <n v="5880610"/>
        <n v="3107456"/>
        <n v="4249668"/>
        <n v="3156318"/>
        <n v="2806512"/>
        <n v="4434679"/>
        <n v="5461756"/>
        <n v="5953512"/>
        <n v="5150366"/>
        <n v="4505069"/>
        <n v="5620822"/>
        <n v="3718103"/>
        <n v="3932724"/>
        <n v="5974815"/>
        <n v="2906572"/>
        <n v="4802423"/>
        <n v="4497364"/>
        <n v="3475275"/>
        <n v="3472531"/>
        <n v="5412530"/>
        <n v="4612925"/>
        <n v="5418933"/>
        <n v="5259436"/>
        <n v="4283481"/>
        <n v="4426475"/>
        <n v="2693471"/>
        <n v="3201907"/>
        <n v="5570834"/>
        <n v="3261249"/>
        <n v="4557606"/>
        <n v="5896885"/>
        <n v="5543765"/>
        <n v="4258440"/>
        <n v="3472986"/>
        <n v="4805056"/>
        <n v="2900355"/>
        <n v="3678091"/>
        <n v="4790417"/>
        <n v="4013283"/>
        <n v="2706279"/>
        <n v="4285483"/>
        <n v="2511189"/>
        <n v="2871386"/>
        <n v="2578748"/>
        <n v="3242647"/>
        <n v="5130016"/>
        <n v="3978102"/>
        <n v="3190009"/>
      </sharedItems>
    </cacheField>
    <cacheField name=" Project Benefit " numFmtId="164">
      <sharedItems containsSemiMixedTypes="0" containsString="0" containsNumber="1" containsInteger="1" minValue="8422578" maxValue="9165877" count="99">
        <n v="9084256"/>
        <n v="9011638"/>
        <n v="9115922"/>
        <n v="9088011"/>
        <n v="8725076"/>
        <n v="9012834"/>
        <n v="9006076"/>
        <n v="8519274"/>
        <n v="9025609"/>
        <n v="8802862"/>
        <n v="8547257"/>
        <n v="8567877"/>
        <n v="8761979"/>
        <n v="8665889"/>
        <n v="8697391"/>
        <n v="9069817"/>
        <n v="8443980"/>
        <n v="8762992"/>
        <n v="9072551"/>
        <n v="9089277"/>
        <n v="9012225"/>
        <n v="9096409"/>
        <n v="8678737"/>
        <n v="8685423"/>
        <n v="8904627"/>
        <n v="9138940"/>
        <n v="8848636"/>
        <n v="8654153"/>
        <n v="8658343"/>
        <n v="8846264"/>
        <n v="8630148"/>
        <n v="8726782"/>
        <n v="8942009"/>
        <n v="9026066"/>
        <n v="9070797"/>
        <n v="8584025"/>
        <n v="8752182"/>
        <n v="8971678"/>
        <n v="9073188"/>
        <n v="8529903"/>
        <n v="8573039"/>
        <n v="8719006"/>
        <n v="8957341"/>
        <n v="8913514"/>
        <n v="9081480"/>
        <n v="8715081"/>
        <n v="9146561"/>
        <n v="8504224"/>
        <n v="8890269"/>
        <n v="8470209"/>
        <n v="8422578"/>
        <n v="8626940"/>
        <n v="9040473"/>
        <n v="8548973"/>
        <n v="9111026"/>
        <n v="9016356"/>
        <n v="9097786"/>
        <n v="8804458"/>
        <n v="8586905"/>
        <n v="8877742"/>
        <n v="8478594"/>
        <n v="8757403"/>
        <n v="9127150"/>
        <n v="9006043"/>
        <n v="8973631"/>
        <n v="8599058"/>
        <n v="8780231"/>
        <n v="9022111"/>
        <n v="8994585"/>
        <n v="9084736"/>
        <n v="8527421"/>
        <n v="8910680"/>
        <n v="8846243"/>
        <n v="8817917"/>
        <n v="8895152"/>
        <n v="8515880"/>
        <n v="9103716"/>
        <n v="8800186"/>
        <n v="8429375"/>
        <n v="8696481"/>
        <n v="9014448"/>
        <n v="8539690"/>
        <n v="8769988"/>
        <n v="8577445"/>
        <n v="9125362"/>
        <n v="8895516"/>
        <n v="8979944"/>
        <n v="8985903"/>
        <n v="8872443"/>
        <n v="8830540"/>
        <n v="8547124"/>
        <n v="9078339"/>
        <n v="8776602"/>
        <n v="8694563"/>
        <n v="9069084"/>
        <n v="8531617"/>
        <n v="9165877"/>
        <n v="8488880"/>
        <n v="8674613"/>
      </sharedItems>
    </cacheField>
    <cacheField name="Status" numFmtId="49">
      <sharedItems count="4">
        <s v="Completed"/>
        <s v="In - Progress"/>
        <s v="Cancelled"/>
        <s v="On - Hold"/>
      </sharedItems>
    </cacheField>
    <cacheField name="Phase" numFmtId="49">
      <sharedItems count="4">
        <s v="Planning"/>
        <s v="Closing"/>
        <s v="Executing"/>
        <s v="Initiation"/>
      </sharedItems>
    </cacheField>
    <cacheField name="Quarters" numFmtId="0" databaseField="0">
      <fieldGroup base="6">
        <rangePr groupBy="quarters" startDate="2021-02-01T00:00:00" endDate="2025-12-02T00:00:00"/>
        <groupItems count="6">
          <s v="&lt;2/1/2021"/>
          <s v="Qtr1"/>
          <s v="Qtr2"/>
          <s v="Qtr3"/>
          <s v="Qtr4"/>
          <s v="&gt;12/2/2025"/>
        </groupItems>
      </fieldGroup>
    </cacheField>
    <cacheField name="Years" numFmtId="0" databaseField="0">
      <fieldGroup base="6">
        <rangePr groupBy="years" startDate="2021-02-01T00:00:00" endDate="2025-12-02T00:00:00"/>
        <groupItems count="7">
          <s v="&lt;2/1/2021"/>
          <s v="2021"/>
          <s v="2022"/>
          <s v="2023"/>
          <s v="2024"/>
          <s v="2025"/>
          <s v="&gt;12/2/2025"/>
        </groupItems>
      </fieldGroup>
    </cacheField>
  </cacheFields>
  <extLst>
    <ext xmlns:x14="http://schemas.microsoft.com/office/spreadsheetml/2009/9/main" uri="{725AE2AE-9491-48be-B2B4-4EB974FC3084}">
      <x14:pivotCacheDefinition pivotCacheId="882049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x v="0"/>
    <x v="0"/>
    <x v="0"/>
    <x v="0"/>
    <x v="0"/>
    <x v="0"/>
    <x v="0"/>
    <x v="0"/>
    <x v="0"/>
    <x v="0"/>
  </r>
  <r>
    <x v="1"/>
    <x v="0"/>
    <x v="0"/>
    <x v="0"/>
    <x v="1"/>
    <x v="1"/>
    <x v="1"/>
    <x v="1"/>
    <x v="1"/>
    <x v="1"/>
    <x v="1"/>
    <x v="1"/>
    <x v="1"/>
  </r>
  <r>
    <x v="2"/>
    <x v="0"/>
    <x v="0"/>
    <x v="0"/>
    <x v="2"/>
    <x v="0"/>
    <x v="2"/>
    <x v="2"/>
    <x v="2"/>
    <x v="2"/>
    <x v="2"/>
    <x v="0"/>
    <x v="1"/>
  </r>
  <r>
    <x v="3"/>
    <x v="1"/>
    <x v="0"/>
    <x v="0"/>
    <x v="0"/>
    <x v="2"/>
    <x v="3"/>
    <x v="3"/>
    <x v="1"/>
    <x v="3"/>
    <x v="3"/>
    <x v="0"/>
    <x v="0"/>
  </r>
  <r>
    <x v="4"/>
    <x v="1"/>
    <x v="0"/>
    <x v="0"/>
    <x v="0"/>
    <x v="3"/>
    <x v="4"/>
    <x v="4"/>
    <x v="1"/>
    <x v="4"/>
    <x v="4"/>
    <x v="2"/>
    <x v="2"/>
  </r>
  <r>
    <x v="5"/>
    <x v="2"/>
    <x v="0"/>
    <x v="0"/>
    <x v="1"/>
    <x v="0"/>
    <x v="5"/>
    <x v="5"/>
    <x v="1"/>
    <x v="5"/>
    <x v="5"/>
    <x v="2"/>
    <x v="2"/>
  </r>
  <r>
    <x v="6"/>
    <x v="3"/>
    <x v="1"/>
    <x v="0"/>
    <x v="1"/>
    <x v="1"/>
    <x v="6"/>
    <x v="6"/>
    <x v="2"/>
    <x v="6"/>
    <x v="6"/>
    <x v="0"/>
    <x v="0"/>
  </r>
  <r>
    <x v="7"/>
    <x v="0"/>
    <x v="1"/>
    <x v="0"/>
    <x v="0"/>
    <x v="1"/>
    <x v="7"/>
    <x v="7"/>
    <x v="1"/>
    <x v="7"/>
    <x v="7"/>
    <x v="0"/>
    <x v="1"/>
  </r>
  <r>
    <x v="8"/>
    <x v="0"/>
    <x v="2"/>
    <x v="0"/>
    <x v="2"/>
    <x v="1"/>
    <x v="8"/>
    <x v="8"/>
    <x v="3"/>
    <x v="8"/>
    <x v="8"/>
    <x v="2"/>
    <x v="1"/>
  </r>
  <r>
    <x v="9"/>
    <x v="3"/>
    <x v="3"/>
    <x v="0"/>
    <x v="0"/>
    <x v="2"/>
    <x v="9"/>
    <x v="8"/>
    <x v="2"/>
    <x v="9"/>
    <x v="9"/>
    <x v="0"/>
    <x v="0"/>
  </r>
  <r>
    <x v="10"/>
    <x v="2"/>
    <x v="3"/>
    <x v="0"/>
    <x v="0"/>
    <x v="3"/>
    <x v="10"/>
    <x v="9"/>
    <x v="1"/>
    <x v="10"/>
    <x v="10"/>
    <x v="0"/>
    <x v="2"/>
  </r>
  <r>
    <x v="11"/>
    <x v="3"/>
    <x v="4"/>
    <x v="0"/>
    <x v="2"/>
    <x v="0"/>
    <x v="11"/>
    <x v="10"/>
    <x v="0"/>
    <x v="11"/>
    <x v="11"/>
    <x v="2"/>
    <x v="2"/>
  </r>
  <r>
    <x v="12"/>
    <x v="0"/>
    <x v="4"/>
    <x v="0"/>
    <x v="0"/>
    <x v="3"/>
    <x v="12"/>
    <x v="11"/>
    <x v="0"/>
    <x v="12"/>
    <x v="12"/>
    <x v="1"/>
    <x v="0"/>
  </r>
  <r>
    <x v="13"/>
    <x v="0"/>
    <x v="5"/>
    <x v="0"/>
    <x v="2"/>
    <x v="0"/>
    <x v="13"/>
    <x v="6"/>
    <x v="3"/>
    <x v="13"/>
    <x v="13"/>
    <x v="3"/>
    <x v="2"/>
  </r>
  <r>
    <x v="14"/>
    <x v="3"/>
    <x v="6"/>
    <x v="0"/>
    <x v="1"/>
    <x v="1"/>
    <x v="14"/>
    <x v="12"/>
    <x v="1"/>
    <x v="14"/>
    <x v="14"/>
    <x v="1"/>
    <x v="2"/>
  </r>
  <r>
    <x v="15"/>
    <x v="3"/>
    <x v="6"/>
    <x v="0"/>
    <x v="1"/>
    <x v="0"/>
    <x v="15"/>
    <x v="13"/>
    <x v="1"/>
    <x v="15"/>
    <x v="15"/>
    <x v="1"/>
    <x v="0"/>
  </r>
  <r>
    <x v="16"/>
    <x v="0"/>
    <x v="6"/>
    <x v="0"/>
    <x v="0"/>
    <x v="1"/>
    <x v="16"/>
    <x v="14"/>
    <x v="3"/>
    <x v="16"/>
    <x v="16"/>
    <x v="1"/>
    <x v="2"/>
  </r>
  <r>
    <x v="17"/>
    <x v="0"/>
    <x v="6"/>
    <x v="0"/>
    <x v="0"/>
    <x v="3"/>
    <x v="17"/>
    <x v="15"/>
    <x v="1"/>
    <x v="17"/>
    <x v="17"/>
    <x v="3"/>
    <x v="1"/>
  </r>
  <r>
    <x v="18"/>
    <x v="2"/>
    <x v="0"/>
    <x v="1"/>
    <x v="1"/>
    <x v="0"/>
    <x v="17"/>
    <x v="15"/>
    <x v="1"/>
    <x v="18"/>
    <x v="18"/>
    <x v="1"/>
    <x v="0"/>
  </r>
  <r>
    <x v="19"/>
    <x v="3"/>
    <x v="1"/>
    <x v="1"/>
    <x v="1"/>
    <x v="0"/>
    <x v="18"/>
    <x v="16"/>
    <x v="1"/>
    <x v="19"/>
    <x v="19"/>
    <x v="0"/>
    <x v="0"/>
  </r>
  <r>
    <x v="20"/>
    <x v="0"/>
    <x v="1"/>
    <x v="1"/>
    <x v="0"/>
    <x v="0"/>
    <x v="19"/>
    <x v="14"/>
    <x v="1"/>
    <x v="20"/>
    <x v="20"/>
    <x v="2"/>
    <x v="0"/>
  </r>
  <r>
    <x v="21"/>
    <x v="0"/>
    <x v="1"/>
    <x v="1"/>
    <x v="1"/>
    <x v="0"/>
    <x v="20"/>
    <x v="17"/>
    <x v="1"/>
    <x v="21"/>
    <x v="21"/>
    <x v="2"/>
    <x v="3"/>
  </r>
  <r>
    <x v="22"/>
    <x v="1"/>
    <x v="1"/>
    <x v="1"/>
    <x v="2"/>
    <x v="1"/>
    <x v="7"/>
    <x v="7"/>
    <x v="1"/>
    <x v="22"/>
    <x v="22"/>
    <x v="1"/>
    <x v="2"/>
  </r>
  <r>
    <x v="23"/>
    <x v="1"/>
    <x v="1"/>
    <x v="1"/>
    <x v="0"/>
    <x v="0"/>
    <x v="21"/>
    <x v="18"/>
    <x v="3"/>
    <x v="23"/>
    <x v="23"/>
    <x v="3"/>
    <x v="2"/>
  </r>
  <r>
    <x v="24"/>
    <x v="3"/>
    <x v="2"/>
    <x v="1"/>
    <x v="2"/>
    <x v="1"/>
    <x v="7"/>
    <x v="7"/>
    <x v="1"/>
    <x v="24"/>
    <x v="24"/>
    <x v="0"/>
    <x v="0"/>
  </r>
  <r>
    <x v="25"/>
    <x v="0"/>
    <x v="2"/>
    <x v="1"/>
    <x v="0"/>
    <x v="1"/>
    <x v="22"/>
    <x v="19"/>
    <x v="0"/>
    <x v="25"/>
    <x v="25"/>
    <x v="2"/>
    <x v="2"/>
  </r>
  <r>
    <x v="26"/>
    <x v="1"/>
    <x v="2"/>
    <x v="1"/>
    <x v="0"/>
    <x v="1"/>
    <x v="23"/>
    <x v="20"/>
    <x v="1"/>
    <x v="26"/>
    <x v="26"/>
    <x v="2"/>
    <x v="1"/>
  </r>
  <r>
    <x v="27"/>
    <x v="2"/>
    <x v="2"/>
    <x v="1"/>
    <x v="1"/>
    <x v="2"/>
    <x v="24"/>
    <x v="21"/>
    <x v="2"/>
    <x v="27"/>
    <x v="27"/>
    <x v="0"/>
    <x v="0"/>
  </r>
  <r>
    <x v="28"/>
    <x v="3"/>
    <x v="3"/>
    <x v="1"/>
    <x v="0"/>
    <x v="2"/>
    <x v="25"/>
    <x v="22"/>
    <x v="3"/>
    <x v="28"/>
    <x v="28"/>
    <x v="1"/>
    <x v="2"/>
  </r>
  <r>
    <x v="29"/>
    <x v="1"/>
    <x v="3"/>
    <x v="1"/>
    <x v="1"/>
    <x v="3"/>
    <x v="26"/>
    <x v="23"/>
    <x v="1"/>
    <x v="29"/>
    <x v="29"/>
    <x v="2"/>
    <x v="0"/>
  </r>
  <r>
    <x v="30"/>
    <x v="2"/>
    <x v="3"/>
    <x v="1"/>
    <x v="0"/>
    <x v="2"/>
    <x v="19"/>
    <x v="14"/>
    <x v="1"/>
    <x v="30"/>
    <x v="30"/>
    <x v="0"/>
    <x v="3"/>
  </r>
  <r>
    <x v="31"/>
    <x v="2"/>
    <x v="3"/>
    <x v="1"/>
    <x v="1"/>
    <x v="0"/>
    <x v="11"/>
    <x v="10"/>
    <x v="0"/>
    <x v="31"/>
    <x v="31"/>
    <x v="2"/>
    <x v="3"/>
  </r>
  <r>
    <x v="32"/>
    <x v="3"/>
    <x v="4"/>
    <x v="1"/>
    <x v="0"/>
    <x v="0"/>
    <x v="14"/>
    <x v="12"/>
    <x v="1"/>
    <x v="32"/>
    <x v="32"/>
    <x v="1"/>
    <x v="3"/>
  </r>
  <r>
    <x v="33"/>
    <x v="1"/>
    <x v="4"/>
    <x v="1"/>
    <x v="0"/>
    <x v="3"/>
    <x v="27"/>
    <x v="24"/>
    <x v="1"/>
    <x v="33"/>
    <x v="33"/>
    <x v="2"/>
    <x v="2"/>
  </r>
  <r>
    <x v="34"/>
    <x v="3"/>
    <x v="5"/>
    <x v="1"/>
    <x v="2"/>
    <x v="1"/>
    <x v="17"/>
    <x v="15"/>
    <x v="1"/>
    <x v="34"/>
    <x v="34"/>
    <x v="0"/>
    <x v="0"/>
  </r>
  <r>
    <x v="35"/>
    <x v="0"/>
    <x v="6"/>
    <x v="1"/>
    <x v="2"/>
    <x v="3"/>
    <x v="14"/>
    <x v="12"/>
    <x v="1"/>
    <x v="35"/>
    <x v="35"/>
    <x v="0"/>
    <x v="0"/>
  </r>
  <r>
    <x v="36"/>
    <x v="1"/>
    <x v="6"/>
    <x v="1"/>
    <x v="2"/>
    <x v="3"/>
    <x v="0"/>
    <x v="0"/>
    <x v="0"/>
    <x v="36"/>
    <x v="36"/>
    <x v="0"/>
    <x v="3"/>
  </r>
  <r>
    <x v="37"/>
    <x v="1"/>
    <x v="6"/>
    <x v="1"/>
    <x v="1"/>
    <x v="1"/>
    <x v="0"/>
    <x v="0"/>
    <x v="0"/>
    <x v="37"/>
    <x v="37"/>
    <x v="3"/>
    <x v="3"/>
  </r>
  <r>
    <x v="38"/>
    <x v="1"/>
    <x v="0"/>
    <x v="2"/>
    <x v="2"/>
    <x v="2"/>
    <x v="28"/>
    <x v="2"/>
    <x v="3"/>
    <x v="38"/>
    <x v="38"/>
    <x v="2"/>
    <x v="1"/>
  </r>
  <r>
    <x v="39"/>
    <x v="0"/>
    <x v="1"/>
    <x v="2"/>
    <x v="2"/>
    <x v="0"/>
    <x v="29"/>
    <x v="25"/>
    <x v="3"/>
    <x v="39"/>
    <x v="39"/>
    <x v="2"/>
    <x v="1"/>
  </r>
  <r>
    <x v="40"/>
    <x v="0"/>
    <x v="1"/>
    <x v="2"/>
    <x v="0"/>
    <x v="1"/>
    <x v="30"/>
    <x v="26"/>
    <x v="1"/>
    <x v="40"/>
    <x v="40"/>
    <x v="2"/>
    <x v="1"/>
  </r>
  <r>
    <x v="41"/>
    <x v="1"/>
    <x v="1"/>
    <x v="2"/>
    <x v="0"/>
    <x v="2"/>
    <x v="19"/>
    <x v="14"/>
    <x v="1"/>
    <x v="41"/>
    <x v="41"/>
    <x v="2"/>
    <x v="1"/>
  </r>
  <r>
    <x v="42"/>
    <x v="0"/>
    <x v="2"/>
    <x v="2"/>
    <x v="0"/>
    <x v="2"/>
    <x v="31"/>
    <x v="27"/>
    <x v="0"/>
    <x v="42"/>
    <x v="42"/>
    <x v="3"/>
    <x v="0"/>
  </r>
  <r>
    <x v="43"/>
    <x v="3"/>
    <x v="3"/>
    <x v="2"/>
    <x v="2"/>
    <x v="2"/>
    <x v="32"/>
    <x v="28"/>
    <x v="0"/>
    <x v="43"/>
    <x v="43"/>
    <x v="1"/>
    <x v="3"/>
  </r>
  <r>
    <x v="44"/>
    <x v="1"/>
    <x v="4"/>
    <x v="2"/>
    <x v="0"/>
    <x v="1"/>
    <x v="28"/>
    <x v="2"/>
    <x v="3"/>
    <x v="44"/>
    <x v="44"/>
    <x v="0"/>
    <x v="0"/>
  </r>
  <r>
    <x v="45"/>
    <x v="2"/>
    <x v="4"/>
    <x v="2"/>
    <x v="1"/>
    <x v="1"/>
    <x v="0"/>
    <x v="0"/>
    <x v="0"/>
    <x v="45"/>
    <x v="45"/>
    <x v="1"/>
    <x v="3"/>
  </r>
  <r>
    <x v="46"/>
    <x v="2"/>
    <x v="4"/>
    <x v="2"/>
    <x v="1"/>
    <x v="1"/>
    <x v="28"/>
    <x v="2"/>
    <x v="3"/>
    <x v="46"/>
    <x v="46"/>
    <x v="0"/>
    <x v="0"/>
  </r>
  <r>
    <x v="47"/>
    <x v="1"/>
    <x v="5"/>
    <x v="2"/>
    <x v="1"/>
    <x v="0"/>
    <x v="19"/>
    <x v="14"/>
    <x v="1"/>
    <x v="47"/>
    <x v="47"/>
    <x v="1"/>
    <x v="0"/>
  </r>
  <r>
    <x v="48"/>
    <x v="1"/>
    <x v="5"/>
    <x v="2"/>
    <x v="2"/>
    <x v="1"/>
    <x v="33"/>
    <x v="29"/>
    <x v="1"/>
    <x v="48"/>
    <x v="48"/>
    <x v="3"/>
    <x v="2"/>
  </r>
  <r>
    <x v="49"/>
    <x v="2"/>
    <x v="5"/>
    <x v="2"/>
    <x v="1"/>
    <x v="2"/>
    <x v="20"/>
    <x v="17"/>
    <x v="1"/>
    <x v="49"/>
    <x v="49"/>
    <x v="3"/>
    <x v="1"/>
  </r>
  <r>
    <x v="50"/>
    <x v="2"/>
    <x v="5"/>
    <x v="2"/>
    <x v="0"/>
    <x v="0"/>
    <x v="34"/>
    <x v="22"/>
    <x v="2"/>
    <x v="50"/>
    <x v="50"/>
    <x v="1"/>
    <x v="0"/>
  </r>
  <r>
    <x v="51"/>
    <x v="2"/>
    <x v="6"/>
    <x v="2"/>
    <x v="0"/>
    <x v="2"/>
    <x v="35"/>
    <x v="30"/>
    <x v="1"/>
    <x v="51"/>
    <x v="51"/>
    <x v="0"/>
    <x v="1"/>
  </r>
  <r>
    <x v="52"/>
    <x v="3"/>
    <x v="0"/>
    <x v="3"/>
    <x v="2"/>
    <x v="2"/>
    <x v="30"/>
    <x v="26"/>
    <x v="1"/>
    <x v="52"/>
    <x v="52"/>
    <x v="2"/>
    <x v="0"/>
  </r>
  <r>
    <x v="53"/>
    <x v="0"/>
    <x v="0"/>
    <x v="3"/>
    <x v="2"/>
    <x v="2"/>
    <x v="36"/>
    <x v="31"/>
    <x v="1"/>
    <x v="53"/>
    <x v="53"/>
    <x v="1"/>
    <x v="3"/>
  </r>
  <r>
    <x v="54"/>
    <x v="1"/>
    <x v="0"/>
    <x v="3"/>
    <x v="1"/>
    <x v="1"/>
    <x v="36"/>
    <x v="31"/>
    <x v="1"/>
    <x v="54"/>
    <x v="54"/>
    <x v="0"/>
    <x v="0"/>
  </r>
  <r>
    <x v="55"/>
    <x v="1"/>
    <x v="0"/>
    <x v="3"/>
    <x v="2"/>
    <x v="1"/>
    <x v="31"/>
    <x v="27"/>
    <x v="0"/>
    <x v="55"/>
    <x v="55"/>
    <x v="1"/>
    <x v="0"/>
  </r>
  <r>
    <x v="56"/>
    <x v="1"/>
    <x v="0"/>
    <x v="3"/>
    <x v="0"/>
    <x v="0"/>
    <x v="2"/>
    <x v="2"/>
    <x v="2"/>
    <x v="56"/>
    <x v="56"/>
    <x v="3"/>
    <x v="1"/>
  </r>
  <r>
    <x v="57"/>
    <x v="2"/>
    <x v="0"/>
    <x v="3"/>
    <x v="2"/>
    <x v="3"/>
    <x v="4"/>
    <x v="4"/>
    <x v="1"/>
    <x v="57"/>
    <x v="57"/>
    <x v="2"/>
    <x v="0"/>
  </r>
  <r>
    <x v="58"/>
    <x v="3"/>
    <x v="1"/>
    <x v="3"/>
    <x v="1"/>
    <x v="3"/>
    <x v="23"/>
    <x v="20"/>
    <x v="1"/>
    <x v="58"/>
    <x v="58"/>
    <x v="2"/>
    <x v="0"/>
  </r>
  <r>
    <x v="59"/>
    <x v="3"/>
    <x v="1"/>
    <x v="3"/>
    <x v="2"/>
    <x v="0"/>
    <x v="37"/>
    <x v="32"/>
    <x v="0"/>
    <x v="59"/>
    <x v="59"/>
    <x v="3"/>
    <x v="0"/>
  </r>
  <r>
    <x v="60"/>
    <x v="3"/>
    <x v="2"/>
    <x v="3"/>
    <x v="0"/>
    <x v="0"/>
    <x v="38"/>
    <x v="33"/>
    <x v="1"/>
    <x v="60"/>
    <x v="60"/>
    <x v="0"/>
    <x v="3"/>
  </r>
  <r>
    <x v="61"/>
    <x v="3"/>
    <x v="2"/>
    <x v="3"/>
    <x v="0"/>
    <x v="1"/>
    <x v="37"/>
    <x v="32"/>
    <x v="0"/>
    <x v="61"/>
    <x v="61"/>
    <x v="0"/>
    <x v="1"/>
  </r>
  <r>
    <x v="62"/>
    <x v="1"/>
    <x v="2"/>
    <x v="3"/>
    <x v="2"/>
    <x v="1"/>
    <x v="20"/>
    <x v="17"/>
    <x v="1"/>
    <x v="62"/>
    <x v="62"/>
    <x v="2"/>
    <x v="3"/>
  </r>
  <r>
    <x v="63"/>
    <x v="1"/>
    <x v="2"/>
    <x v="3"/>
    <x v="0"/>
    <x v="2"/>
    <x v="35"/>
    <x v="30"/>
    <x v="1"/>
    <x v="63"/>
    <x v="63"/>
    <x v="1"/>
    <x v="1"/>
  </r>
  <r>
    <x v="64"/>
    <x v="2"/>
    <x v="2"/>
    <x v="3"/>
    <x v="2"/>
    <x v="2"/>
    <x v="39"/>
    <x v="34"/>
    <x v="3"/>
    <x v="64"/>
    <x v="64"/>
    <x v="2"/>
    <x v="1"/>
  </r>
  <r>
    <x v="65"/>
    <x v="2"/>
    <x v="2"/>
    <x v="3"/>
    <x v="0"/>
    <x v="0"/>
    <x v="21"/>
    <x v="18"/>
    <x v="3"/>
    <x v="65"/>
    <x v="65"/>
    <x v="0"/>
    <x v="1"/>
  </r>
  <r>
    <x v="66"/>
    <x v="2"/>
    <x v="3"/>
    <x v="3"/>
    <x v="0"/>
    <x v="3"/>
    <x v="13"/>
    <x v="6"/>
    <x v="3"/>
    <x v="66"/>
    <x v="66"/>
    <x v="1"/>
    <x v="1"/>
  </r>
  <r>
    <x v="67"/>
    <x v="3"/>
    <x v="4"/>
    <x v="3"/>
    <x v="0"/>
    <x v="0"/>
    <x v="40"/>
    <x v="35"/>
    <x v="1"/>
    <x v="67"/>
    <x v="67"/>
    <x v="0"/>
    <x v="0"/>
  </r>
  <r>
    <x v="68"/>
    <x v="2"/>
    <x v="4"/>
    <x v="3"/>
    <x v="2"/>
    <x v="3"/>
    <x v="17"/>
    <x v="15"/>
    <x v="1"/>
    <x v="68"/>
    <x v="68"/>
    <x v="3"/>
    <x v="2"/>
  </r>
  <r>
    <x v="69"/>
    <x v="2"/>
    <x v="4"/>
    <x v="3"/>
    <x v="2"/>
    <x v="2"/>
    <x v="13"/>
    <x v="6"/>
    <x v="3"/>
    <x v="69"/>
    <x v="69"/>
    <x v="2"/>
    <x v="0"/>
  </r>
  <r>
    <x v="70"/>
    <x v="3"/>
    <x v="5"/>
    <x v="3"/>
    <x v="1"/>
    <x v="1"/>
    <x v="41"/>
    <x v="36"/>
    <x v="3"/>
    <x v="70"/>
    <x v="70"/>
    <x v="1"/>
    <x v="0"/>
  </r>
  <r>
    <x v="71"/>
    <x v="1"/>
    <x v="5"/>
    <x v="3"/>
    <x v="0"/>
    <x v="1"/>
    <x v="5"/>
    <x v="5"/>
    <x v="1"/>
    <x v="71"/>
    <x v="71"/>
    <x v="2"/>
    <x v="2"/>
  </r>
  <r>
    <x v="72"/>
    <x v="2"/>
    <x v="5"/>
    <x v="3"/>
    <x v="1"/>
    <x v="1"/>
    <x v="42"/>
    <x v="37"/>
    <x v="1"/>
    <x v="72"/>
    <x v="72"/>
    <x v="3"/>
    <x v="2"/>
  </r>
  <r>
    <x v="73"/>
    <x v="2"/>
    <x v="5"/>
    <x v="3"/>
    <x v="1"/>
    <x v="3"/>
    <x v="15"/>
    <x v="13"/>
    <x v="1"/>
    <x v="73"/>
    <x v="73"/>
    <x v="3"/>
    <x v="0"/>
  </r>
  <r>
    <x v="74"/>
    <x v="1"/>
    <x v="6"/>
    <x v="3"/>
    <x v="2"/>
    <x v="0"/>
    <x v="25"/>
    <x v="22"/>
    <x v="3"/>
    <x v="74"/>
    <x v="74"/>
    <x v="0"/>
    <x v="0"/>
  </r>
  <r>
    <x v="75"/>
    <x v="2"/>
    <x v="6"/>
    <x v="3"/>
    <x v="0"/>
    <x v="1"/>
    <x v="43"/>
    <x v="38"/>
    <x v="1"/>
    <x v="75"/>
    <x v="75"/>
    <x v="2"/>
    <x v="0"/>
  </r>
  <r>
    <x v="76"/>
    <x v="3"/>
    <x v="0"/>
    <x v="4"/>
    <x v="2"/>
    <x v="0"/>
    <x v="18"/>
    <x v="16"/>
    <x v="1"/>
    <x v="76"/>
    <x v="76"/>
    <x v="0"/>
    <x v="0"/>
  </r>
  <r>
    <x v="77"/>
    <x v="0"/>
    <x v="0"/>
    <x v="4"/>
    <x v="0"/>
    <x v="1"/>
    <x v="44"/>
    <x v="25"/>
    <x v="1"/>
    <x v="77"/>
    <x v="77"/>
    <x v="2"/>
    <x v="2"/>
  </r>
  <r>
    <x v="78"/>
    <x v="0"/>
    <x v="0"/>
    <x v="4"/>
    <x v="2"/>
    <x v="3"/>
    <x v="40"/>
    <x v="35"/>
    <x v="1"/>
    <x v="78"/>
    <x v="78"/>
    <x v="1"/>
    <x v="2"/>
  </r>
  <r>
    <x v="79"/>
    <x v="2"/>
    <x v="0"/>
    <x v="4"/>
    <x v="0"/>
    <x v="1"/>
    <x v="7"/>
    <x v="7"/>
    <x v="1"/>
    <x v="79"/>
    <x v="79"/>
    <x v="0"/>
    <x v="0"/>
  </r>
  <r>
    <x v="80"/>
    <x v="3"/>
    <x v="1"/>
    <x v="4"/>
    <x v="0"/>
    <x v="1"/>
    <x v="45"/>
    <x v="39"/>
    <x v="0"/>
    <x v="80"/>
    <x v="80"/>
    <x v="0"/>
    <x v="1"/>
  </r>
  <r>
    <x v="81"/>
    <x v="2"/>
    <x v="1"/>
    <x v="4"/>
    <x v="1"/>
    <x v="2"/>
    <x v="6"/>
    <x v="6"/>
    <x v="2"/>
    <x v="81"/>
    <x v="81"/>
    <x v="2"/>
    <x v="0"/>
  </r>
  <r>
    <x v="82"/>
    <x v="2"/>
    <x v="1"/>
    <x v="4"/>
    <x v="1"/>
    <x v="1"/>
    <x v="46"/>
    <x v="40"/>
    <x v="3"/>
    <x v="82"/>
    <x v="82"/>
    <x v="3"/>
    <x v="0"/>
  </r>
  <r>
    <x v="83"/>
    <x v="0"/>
    <x v="3"/>
    <x v="4"/>
    <x v="1"/>
    <x v="1"/>
    <x v="4"/>
    <x v="4"/>
    <x v="1"/>
    <x v="83"/>
    <x v="83"/>
    <x v="1"/>
    <x v="3"/>
  </r>
  <r>
    <x v="84"/>
    <x v="2"/>
    <x v="3"/>
    <x v="4"/>
    <x v="1"/>
    <x v="3"/>
    <x v="26"/>
    <x v="23"/>
    <x v="1"/>
    <x v="84"/>
    <x v="84"/>
    <x v="0"/>
    <x v="2"/>
  </r>
  <r>
    <x v="85"/>
    <x v="3"/>
    <x v="4"/>
    <x v="4"/>
    <x v="0"/>
    <x v="3"/>
    <x v="18"/>
    <x v="16"/>
    <x v="1"/>
    <x v="85"/>
    <x v="85"/>
    <x v="2"/>
    <x v="1"/>
  </r>
  <r>
    <x v="86"/>
    <x v="0"/>
    <x v="4"/>
    <x v="4"/>
    <x v="0"/>
    <x v="2"/>
    <x v="3"/>
    <x v="3"/>
    <x v="1"/>
    <x v="86"/>
    <x v="86"/>
    <x v="1"/>
    <x v="3"/>
  </r>
  <r>
    <x v="87"/>
    <x v="0"/>
    <x v="4"/>
    <x v="4"/>
    <x v="1"/>
    <x v="1"/>
    <x v="2"/>
    <x v="2"/>
    <x v="2"/>
    <x v="87"/>
    <x v="87"/>
    <x v="3"/>
    <x v="0"/>
  </r>
  <r>
    <x v="88"/>
    <x v="0"/>
    <x v="4"/>
    <x v="4"/>
    <x v="1"/>
    <x v="1"/>
    <x v="47"/>
    <x v="41"/>
    <x v="0"/>
    <x v="88"/>
    <x v="88"/>
    <x v="1"/>
    <x v="2"/>
  </r>
  <r>
    <x v="89"/>
    <x v="1"/>
    <x v="4"/>
    <x v="4"/>
    <x v="2"/>
    <x v="3"/>
    <x v="30"/>
    <x v="26"/>
    <x v="1"/>
    <x v="89"/>
    <x v="89"/>
    <x v="3"/>
    <x v="2"/>
  </r>
  <r>
    <x v="90"/>
    <x v="3"/>
    <x v="5"/>
    <x v="4"/>
    <x v="1"/>
    <x v="1"/>
    <x v="48"/>
    <x v="42"/>
    <x v="0"/>
    <x v="90"/>
    <x v="90"/>
    <x v="1"/>
    <x v="2"/>
  </r>
  <r>
    <x v="91"/>
    <x v="0"/>
    <x v="5"/>
    <x v="4"/>
    <x v="0"/>
    <x v="1"/>
    <x v="19"/>
    <x v="14"/>
    <x v="1"/>
    <x v="91"/>
    <x v="91"/>
    <x v="0"/>
    <x v="2"/>
  </r>
  <r>
    <x v="92"/>
    <x v="0"/>
    <x v="5"/>
    <x v="4"/>
    <x v="0"/>
    <x v="2"/>
    <x v="31"/>
    <x v="27"/>
    <x v="0"/>
    <x v="92"/>
    <x v="92"/>
    <x v="3"/>
    <x v="1"/>
  </r>
  <r>
    <x v="93"/>
    <x v="1"/>
    <x v="5"/>
    <x v="4"/>
    <x v="2"/>
    <x v="3"/>
    <x v="44"/>
    <x v="25"/>
    <x v="1"/>
    <x v="93"/>
    <x v="93"/>
    <x v="1"/>
    <x v="0"/>
  </r>
  <r>
    <x v="94"/>
    <x v="0"/>
    <x v="6"/>
    <x v="4"/>
    <x v="2"/>
    <x v="3"/>
    <x v="31"/>
    <x v="27"/>
    <x v="0"/>
    <x v="94"/>
    <x v="94"/>
    <x v="3"/>
    <x v="1"/>
  </r>
  <r>
    <x v="95"/>
    <x v="0"/>
    <x v="6"/>
    <x v="4"/>
    <x v="2"/>
    <x v="3"/>
    <x v="22"/>
    <x v="19"/>
    <x v="0"/>
    <x v="95"/>
    <x v="95"/>
    <x v="0"/>
    <x v="0"/>
  </r>
  <r>
    <x v="96"/>
    <x v="1"/>
    <x v="6"/>
    <x v="4"/>
    <x v="2"/>
    <x v="3"/>
    <x v="17"/>
    <x v="15"/>
    <x v="1"/>
    <x v="96"/>
    <x v="96"/>
    <x v="2"/>
    <x v="2"/>
  </r>
  <r>
    <x v="97"/>
    <x v="1"/>
    <x v="6"/>
    <x v="4"/>
    <x v="1"/>
    <x v="2"/>
    <x v="36"/>
    <x v="31"/>
    <x v="1"/>
    <x v="97"/>
    <x v="97"/>
    <x v="1"/>
    <x v="1"/>
  </r>
  <r>
    <x v="98"/>
    <x v="2"/>
    <x v="6"/>
    <x v="4"/>
    <x v="0"/>
    <x v="0"/>
    <x v="45"/>
    <x v="39"/>
    <x v="0"/>
    <x v="98"/>
    <x v="98"/>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107E54-E7DC-4D69-8B58-2109FE885A34}"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 firstHeaderRow="0" firstDataRow="1" firstDataCol="1"/>
  <pivotFields count="15">
    <pivotField showAll="0"/>
    <pivotField showAll="0">
      <items count="5">
        <item h="1" x="3"/>
        <item h="1" x="0"/>
        <item h="1" x="1"/>
        <item x="2"/>
        <item t="default"/>
      </items>
    </pivotField>
    <pivotField axis="axisRow" showAll="0">
      <items count="8">
        <item x="0"/>
        <item x="1"/>
        <item x="2"/>
        <item x="3"/>
        <item x="4"/>
        <item x="5"/>
        <item x="6"/>
        <item t="default"/>
      </items>
    </pivotField>
    <pivotField showAll="0">
      <items count="6">
        <item x="0"/>
        <item x="1"/>
        <item x="2"/>
        <item x="3"/>
        <item x="4"/>
        <item t="default"/>
      </items>
    </pivotField>
    <pivotField showAll="0">
      <items count="4">
        <item x="0"/>
        <item x="2"/>
        <item x="1"/>
        <item t="default"/>
      </items>
    </pivotField>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numFmtId="14" showAll="0"/>
    <pivotField numFmtId="1" showAll="0"/>
    <pivotField dataField="1" numFmtId="164" showAll="0"/>
    <pivotField dataField="1" numFmtId="164" showAll="0"/>
    <pivotField showAll="0">
      <items count="5">
        <item x="2"/>
        <item x="0"/>
        <item x="1"/>
        <item x="3"/>
        <item t="default"/>
      </items>
    </pivotField>
    <pivotField showAll="0">
      <items count="5">
        <item x="1"/>
        <item x="2"/>
        <item x="3"/>
        <item x="0"/>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Cost " fld="9" baseField="2" baseItem="0"/>
    <dataField name="Benefit " fld="10" baseField="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EADA47-4B66-4882-BC5D-115EB72461B9}"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 firstHeaderRow="1" firstDataRow="1" firstDataCol="1"/>
  <pivotFields count="15">
    <pivotField dataField="1" showAll="0"/>
    <pivotField axis="axisRow" showAll="0">
      <items count="5">
        <item x="3"/>
        <item x="0"/>
        <item x="1"/>
        <item x="2"/>
        <item t="default"/>
      </items>
    </pivotField>
    <pivotField showAll="0"/>
    <pivotField showAll="0">
      <items count="6">
        <item x="0"/>
        <item x="1"/>
        <item x="2"/>
        <item x="3"/>
        <item x="4"/>
        <item t="default"/>
      </items>
    </pivotField>
    <pivotField axis="axisRow" showAll="0">
      <items count="4">
        <item x="0"/>
        <item x="2"/>
        <item x="1"/>
        <item t="default"/>
      </items>
    </pivotField>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numFmtId="14" showAll="0"/>
    <pivotField numFmtId="1" showAll="0"/>
    <pivotField numFmtId="164" showAll="0"/>
    <pivotField numFmtId="164"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2">
    <field x="1"/>
    <field x="4"/>
  </rowFields>
  <rowItems count="17">
    <i>
      <x/>
    </i>
    <i r="1">
      <x/>
    </i>
    <i r="1">
      <x v="1"/>
    </i>
    <i r="1">
      <x v="2"/>
    </i>
    <i>
      <x v="1"/>
    </i>
    <i r="1">
      <x/>
    </i>
    <i r="1">
      <x v="1"/>
    </i>
    <i r="1">
      <x v="2"/>
    </i>
    <i>
      <x v="2"/>
    </i>
    <i r="1">
      <x/>
    </i>
    <i r="1">
      <x v="1"/>
    </i>
    <i r="1">
      <x v="2"/>
    </i>
    <i>
      <x v="3"/>
    </i>
    <i r="1">
      <x/>
    </i>
    <i r="1">
      <x v="1"/>
    </i>
    <i r="1">
      <x v="2"/>
    </i>
    <i t="grand">
      <x/>
    </i>
  </rowItems>
  <colItems count="1">
    <i/>
  </colItems>
  <dataFields count="1">
    <dataField name="Count of Project Name"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031C6-6294-4F46-B4C2-4755F9040BE3}"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15">
    <pivotField showAll="0"/>
    <pivotField showAll="0">
      <items count="5">
        <item h="1" x="3"/>
        <item h="1" x="0"/>
        <item h="1" x="1"/>
        <item x="2"/>
        <item t="default"/>
      </items>
    </pivotField>
    <pivotField showAll="0"/>
    <pivotField showAll="0">
      <items count="6">
        <item x="0"/>
        <item x="1"/>
        <item x="2"/>
        <item x="3"/>
        <item x="4"/>
        <item t="default"/>
      </items>
    </pivotField>
    <pivotField showAll="0"/>
    <pivotField axis="axisRow"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numFmtId="14" showAll="0"/>
    <pivotField numFmtId="1" showAll="0"/>
    <pivotField dataField="1" numFmtId="164" showAll="0"/>
    <pivotField dataField="1" numFmtId="164"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5">
    <i>
      <x/>
    </i>
    <i>
      <x v="1"/>
    </i>
    <i>
      <x v="2"/>
    </i>
    <i>
      <x v="3"/>
    </i>
    <i t="grand">
      <x/>
    </i>
  </rowItems>
  <colFields count="1">
    <field x="-2"/>
  </colFields>
  <colItems count="2">
    <i>
      <x/>
    </i>
    <i i="1">
      <x v="1"/>
    </i>
  </colItems>
  <dataFields count="2">
    <dataField name="Benefit " fld="10" baseField="0" baseItem="0"/>
    <dataField name="Cost " fld="9"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40D129-2E5D-4EFB-8F98-4F81419C315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5">
    <pivotField showAll="0"/>
    <pivotField showAll="0">
      <items count="5">
        <item h="1" x="3"/>
        <item h="1" x="0"/>
        <item h="1" x="1"/>
        <item x="2"/>
        <item t="default"/>
      </items>
    </pivotField>
    <pivotField showAll="0"/>
    <pivotField axis="axisRow" showAll="0">
      <items count="6">
        <item x="0"/>
        <item x="1"/>
        <item x="2"/>
        <item x="3"/>
        <item x="4"/>
        <item t="default"/>
      </items>
    </pivotField>
    <pivotField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numFmtId="14" showAll="0"/>
    <pivotField numFmtId="1" showAll="0"/>
    <pivotField numFmtId="164" showAll="0"/>
    <pivotField dataField="1" numFmtId="164" showAll="0"/>
    <pivotField showAll="0">
      <items count="5">
        <item h="1" x="2"/>
        <item x="0"/>
        <item h="1" x="1"/>
        <item h="1" x="3"/>
        <item t="default"/>
      </items>
    </pivotField>
    <pivotField showAll="0">
      <items count="5">
        <item x="1"/>
        <item x="2"/>
        <item x="3"/>
        <item x="0"/>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6">
    <i>
      <x/>
    </i>
    <i>
      <x v="1"/>
    </i>
    <i>
      <x v="2"/>
    </i>
    <i>
      <x v="3"/>
    </i>
    <i>
      <x v="4"/>
    </i>
    <i t="grand">
      <x/>
    </i>
  </rowItems>
  <colItems count="1">
    <i/>
  </colItems>
  <dataFields count="1">
    <dataField name="Sum of  Project Benefit " fld="10" baseField="0" baseItem="0"/>
  </dataField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3" count="1" selected="0">
            <x v="0"/>
          </reference>
        </references>
      </pivotArea>
    </chartFormat>
    <chartFormat chart="11" format="9">
      <pivotArea type="data" outline="0" fieldPosition="0">
        <references count="2">
          <reference field="4294967294" count="1" selected="0">
            <x v="0"/>
          </reference>
          <reference field="3" count="1" selected="0">
            <x v="1"/>
          </reference>
        </references>
      </pivotArea>
    </chartFormat>
    <chartFormat chart="11" format="10">
      <pivotArea type="data" outline="0" fieldPosition="0">
        <references count="2">
          <reference field="4294967294" count="1" selected="0">
            <x v="0"/>
          </reference>
          <reference field="3" count="1" selected="0">
            <x v="2"/>
          </reference>
        </references>
      </pivotArea>
    </chartFormat>
    <chartFormat chart="11" format="11">
      <pivotArea type="data" outline="0" fieldPosition="0">
        <references count="2">
          <reference field="4294967294" count="1" selected="0">
            <x v="0"/>
          </reference>
          <reference field="3" count="1" selected="0">
            <x v="3"/>
          </reference>
        </references>
      </pivotArea>
    </chartFormat>
    <chartFormat chart="11"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47A2DD-1C96-4AFF-93D4-61C15E12FF75}"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10" firstHeaderRow="1" firstDataRow="2" firstDataCol="1"/>
  <pivotFields count="15">
    <pivotField dataField="1" showAll="0">
      <items count="100">
        <item x="83"/>
        <item x="50"/>
        <item x="90"/>
        <item x="18"/>
        <item x="20"/>
        <item x="8"/>
        <item x="48"/>
        <item x="3"/>
        <item x="49"/>
        <item x="23"/>
        <item x="22"/>
        <item x="37"/>
        <item x="89"/>
        <item x="36"/>
        <item x="70"/>
        <item x="77"/>
        <item x="5"/>
        <item x="62"/>
        <item x="24"/>
        <item x="88"/>
        <item x="17"/>
        <item x="93"/>
        <item x="69"/>
        <item x="39"/>
        <item x="56"/>
        <item x="54"/>
        <item x="75"/>
        <item x="76"/>
        <item x="80"/>
        <item x="44"/>
        <item x="0"/>
        <item x="29"/>
        <item x="61"/>
        <item x="57"/>
        <item x="38"/>
        <item x="46"/>
        <item x="52"/>
        <item x="10"/>
        <item x="21"/>
        <item x="74"/>
        <item x="32"/>
        <item x="42"/>
        <item x="13"/>
        <item x="98"/>
        <item x="60"/>
        <item x="79"/>
        <item x="11"/>
        <item x="92"/>
        <item x="55"/>
        <item x="1"/>
        <item x="58"/>
        <item x="95"/>
        <item x="7"/>
        <item x="27"/>
        <item x="41"/>
        <item x="28"/>
        <item x="16"/>
        <item x="6"/>
        <item x="96"/>
        <item x="67"/>
        <item x="31"/>
        <item x="85"/>
        <item x="87"/>
        <item x="30"/>
        <item x="33"/>
        <item x="19"/>
        <item x="63"/>
        <item x="25"/>
        <item x="86"/>
        <item x="9"/>
        <item x="43"/>
        <item x="73"/>
        <item x="51"/>
        <item x="26"/>
        <item x="40"/>
        <item x="91"/>
        <item x="81"/>
        <item x="71"/>
        <item x="97"/>
        <item x="47"/>
        <item x="15"/>
        <item x="59"/>
        <item x="78"/>
        <item x="84"/>
        <item x="66"/>
        <item x="72"/>
        <item x="45"/>
        <item x="65"/>
        <item x="35"/>
        <item x="64"/>
        <item x="12"/>
        <item x="34"/>
        <item x="94"/>
        <item x="4"/>
        <item x="2"/>
        <item x="53"/>
        <item x="82"/>
        <item x="14"/>
        <item x="68"/>
        <item t="default"/>
      </items>
    </pivotField>
    <pivotField showAll="0">
      <items count="5">
        <item x="3"/>
        <item x="0"/>
        <item x="1"/>
        <item x="2"/>
        <item t="default"/>
      </items>
    </pivotField>
    <pivotField showAll="0">
      <items count="8">
        <item x="0"/>
        <item x="1"/>
        <item x="2"/>
        <item x="3"/>
        <item x="4"/>
        <item x="5"/>
        <item x="6"/>
        <item t="default"/>
      </items>
    </pivotField>
    <pivotField showAll="0">
      <items count="6">
        <item x="0"/>
        <item x="1"/>
        <item x="2"/>
        <item x="3"/>
        <item x="4"/>
        <item t="default"/>
      </items>
    </pivotField>
    <pivotField showAll="0">
      <items count="4">
        <item x="0"/>
        <item x="2"/>
        <item x="1"/>
        <item t="default"/>
      </items>
    </pivotField>
    <pivotField showAll="0">
      <items count="5">
        <item x="2"/>
        <item x="1"/>
        <item x="3"/>
        <item x="0"/>
        <item t="default"/>
      </items>
    </pivotField>
    <pivotField axis="axisRow" numFmtId="14" showAll="0">
      <items count="15">
        <item x="0"/>
        <item x="1"/>
        <item x="2"/>
        <item x="3"/>
        <item x="4"/>
        <item x="5"/>
        <item x="6"/>
        <item x="7"/>
        <item x="8"/>
        <item x="9"/>
        <item x="10"/>
        <item x="11"/>
        <item x="12"/>
        <item x="13"/>
        <item t="default"/>
      </items>
    </pivotField>
    <pivotField numFmtId="14" showAll="0">
      <items count="44">
        <item x="14"/>
        <item x="39"/>
        <item x="15"/>
        <item x="20"/>
        <item x="23"/>
        <item x="9"/>
        <item x="11"/>
        <item x="3"/>
        <item x="8"/>
        <item x="34"/>
        <item x="25"/>
        <item x="0"/>
        <item x="1"/>
        <item x="17"/>
        <item x="12"/>
        <item x="31"/>
        <item x="10"/>
        <item x="35"/>
        <item x="6"/>
        <item x="36"/>
        <item x="40"/>
        <item x="33"/>
        <item x="26"/>
        <item x="5"/>
        <item x="27"/>
        <item x="7"/>
        <item x="28"/>
        <item x="21"/>
        <item x="24"/>
        <item x="42"/>
        <item x="38"/>
        <item x="37"/>
        <item x="19"/>
        <item x="4"/>
        <item x="2"/>
        <item x="18"/>
        <item x="32"/>
        <item x="29"/>
        <item x="16"/>
        <item x="30"/>
        <item x="13"/>
        <item x="41"/>
        <item x="22"/>
        <item t="default"/>
      </items>
    </pivotField>
    <pivotField numFmtId="1" showAll="0">
      <items count="5">
        <item x="2"/>
        <item x="0"/>
        <item x="1"/>
        <item x="3"/>
        <item t="default"/>
      </items>
    </pivotField>
    <pivotField numFmtId="164" showAll="0">
      <items count="100">
        <item x="25"/>
        <item x="43"/>
        <item x="49"/>
        <item x="92"/>
        <item x="18"/>
        <item x="8"/>
        <item x="94"/>
        <item x="35"/>
        <item x="19"/>
        <item x="76"/>
        <item x="90"/>
        <item x="42"/>
        <item x="11"/>
        <item x="38"/>
        <item x="55"/>
        <item x="93"/>
        <item x="86"/>
        <item x="65"/>
        <item x="37"/>
        <item x="24"/>
        <item x="52"/>
        <item x="54"/>
        <item x="98"/>
        <item x="77"/>
        <item x="95"/>
        <item x="79"/>
        <item x="47"/>
        <item x="12"/>
        <item x="34"/>
        <item x="69"/>
        <item x="84"/>
        <item x="68"/>
        <item x="29"/>
        <item x="17"/>
        <item x="46"/>
        <item x="16"/>
        <item x="2"/>
        <item x="87"/>
        <item x="48"/>
        <item x="62"/>
        <item x="45"/>
        <item x="31"/>
        <item x="39"/>
        <item x="63"/>
        <item x="97"/>
        <item x="4"/>
        <item x="89"/>
        <item x="20"/>
        <item x="26"/>
        <item x="32"/>
        <item x="53"/>
        <item x="83"/>
        <item x="74"/>
        <item x="91"/>
        <item x="23"/>
        <item x="10"/>
        <item x="75"/>
        <item x="56"/>
        <item x="67"/>
        <item x="1"/>
        <item x="33"/>
        <item x="60"/>
        <item x="80"/>
        <item x="22"/>
        <item x="27"/>
        <item x="28"/>
        <item x="71"/>
        <item x="6"/>
        <item x="88"/>
        <item x="66"/>
        <item x="85"/>
        <item x="15"/>
        <item x="36"/>
        <item x="50"/>
        <item x="13"/>
        <item x="96"/>
        <item x="59"/>
        <item x="7"/>
        <item x="73"/>
        <item x="41"/>
        <item x="70"/>
        <item x="72"/>
        <item x="57"/>
        <item x="3"/>
        <item x="82"/>
        <item x="78"/>
        <item x="0"/>
        <item x="61"/>
        <item x="40"/>
        <item x="44"/>
        <item x="30"/>
        <item x="14"/>
        <item x="9"/>
        <item x="51"/>
        <item x="81"/>
        <item x="21"/>
        <item x="5"/>
        <item x="58"/>
        <item x="64"/>
        <item t="default"/>
      </items>
    </pivotField>
    <pivotField numFmtId="164" showAll="0">
      <items count="100">
        <item x="50"/>
        <item x="78"/>
        <item x="16"/>
        <item x="49"/>
        <item x="60"/>
        <item x="97"/>
        <item x="47"/>
        <item x="75"/>
        <item x="7"/>
        <item x="70"/>
        <item x="39"/>
        <item x="95"/>
        <item x="81"/>
        <item x="90"/>
        <item x="10"/>
        <item x="53"/>
        <item x="11"/>
        <item x="40"/>
        <item x="83"/>
        <item x="35"/>
        <item x="58"/>
        <item x="65"/>
        <item x="51"/>
        <item x="30"/>
        <item x="27"/>
        <item x="28"/>
        <item x="13"/>
        <item x="98"/>
        <item x="22"/>
        <item x="23"/>
        <item x="93"/>
        <item x="79"/>
        <item x="14"/>
        <item x="45"/>
        <item x="41"/>
        <item x="4"/>
        <item x="31"/>
        <item x="36"/>
        <item x="61"/>
        <item x="12"/>
        <item x="17"/>
        <item x="82"/>
        <item x="92"/>
        <item x="66"/>
        <item x="77"/>
        <item x="9"/>
        <item x="57"/>
        <item x="73"/>
        <item x="89"/>
        <item x="72"/>
        <item x="29"/>
        <item x="26"/>
        <item x="88"/>
        <item x="59"/>
        <item x="48"/>
        <item x="74"/>
        <item x="85"/>
        <item x="24"/>
        <item x="71"/>
        <item x="43"/>
        <item x="32"/>
        <item x="42"/>
        <item x="37"/>
        <item x="64"/>
        <item x="86"/>
        <item x="87"/>
        <item x="68"/>
        <item x="63"/>
        <item x="6"/>
        <item x="1"/>
        <item x="20"/>
        <item x="5"/>
        <item x="80"/>
        <item x="55"/>
        <item x="67"/>
        <item x="8"/>
        <item x="33"/>
        <item x="52"/>
        <item x="94"/>
        <item x="15"/>
        <item x="34"/>
        <item x="18"/>
        <item x="38"/>
        <item x="91"/>
        <item x="44"/>
        <item x="0"/>
        <item x="69"/>
        <item x="3"/>
        <item x="19"/>
        <item x="21"/>
        <item x="56"/>
        <item x="76"/>
        <item x="54"/>
        <item x="2"/>
        <item x="84"/>
        <item x="62"/>
        <item x="25"/>
        <item x="46"/>
        <item x="96"/>
        <item t="default"/>
      </items>
    </pivotField>
    <pivotField axis="axisCol" showAll="0">
      <items count="5">
        <item x="2"/>
        <item x="0"/>
        <item x="1"/>
        <item x="3"/>
        <item t="default"/>
      </items>
    </pivotField>
    <pivotField showAll="0">
      <items count="5">
        <item x="1"/>
        <item x="2"/>
        <item x="3"/>
        <item x="0"/>
        <item t="default"/>
      </items>
    </pivotField>
    <pivotField axis="axisRow" showAll="0">
      <items count="7">
        <item sd="0" x="0"/>
        <item sd="0" x="1"/>
        <item sd="0" x="2"/>
        <item sd="0" x="3"/>
        <item sd="0" x="4"/>
        <item sd="0" x="5"/>
        <item t="default" sd="0"/>
      </items>
    </pivotField>
    <pivotField axis="axisRow" showAll="0">
      <items count="8">
        <item sd="0" x="0"/>
        <item sd="0" x="1"/>
        <item sd="0" x="2"/>
        <item sd="0" x="3"/>
        <item sd="0" x="4"/>
        <item sd="0" x="5"/>
        <item sd="0" x="6"/>
        <item t="default" sd="0"/>
      </items>
    </pivotField>
  </pivotFields>
  <rowFields count="3">
    <field x="14"/>
    <field x="13"/>
    <field x="6"/>
  </rowFields>
  <rowItems count="6">
    <i>
      <x v="1"/>
    </i>
    <i>
      <x v="2"/>
    </i>
    <i>
      <x v="3"/>
    </i>
    <i>
      <x v="4"/>
    </i>
    <i>
      <x v="5"/>
    </i>
    <i t="grand">
      <x/>
    </i>
  </rowItems>
  <colFields count="1">
    <field x="11"/>
  </colFields>
  <colItems count="5">
    <i>
      <x/>
    </i>
    <i>
      <x v="1"/>
    </i>
    <i>
      <x v="2"/>
    </i>
    <i>
      <x v="3"/>
    </i>
    <i t="grand">
      <x/>
    </i>
  </colItems>
  <dataFields count="1">
    <dataField name="Count of Project Name" fld="0" subtotal="count" baseField="0" baseItem="0"/>
  </dataFields>
  <chartFormats count="5">
    <chartFormat chart="5" format="14" series="1">
      <pivotArea type="data" outline="0" fieldPosition="0">
        <references count="2">
          <reference field="4294967294" count="1" selected="0">
            <x v="0"/>
          </reference>
          <reference field="11" count="1" selected="0">
            <x v="0"/>
          </reference>
        </references>
      </pivotArea>
    </chartFormat>
    <chartFormat chart="5" format="15" series="1">
      <pivotArea type="data" outline="0" fieldPosition="0">
        <references count="2">
          <reference field="4294967294" count="1" selected="0">
            <x v="0"/>
          </reference>
          <reference field="11" count="1" selected="0">
            <x v="1"/>
          </reference>
        </references>
      </pivotArea>
    </chartFormat>
    <chartFormat chart="5" format="16" series="1">
      <pivotArea type="data" outline="0" fieldPosition="0">
        <references count="2">
          <reference field="4294967294" count="1" selected="0">
            <x v="0"/>
          </reference>
          <reference field="11" count="1" selected="0">
            <x v="2"/>
          </reference>
        </references>
      </pivotArea>
    </chartFormat>
    <chartFormat chart="5" format="17" series="1">
      <pivotArea type="data" outline="0" fieldPosition="0">
        <references count="2">
          <reference field="4294967294" count="1" selected="0">
            <x v="0"/>
          </reference>
          <reference field="11" count="1" selected="0">
            <x v="3"/>
          </reference>
        </references>
      </pivotArea>
    </chartFormat>
    <chartFormat chart="5"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A129CF3-981D-417A-82B0-80601C78634B}" sourceName="Department">
  <pivotTables>
    <pivotTable tabId="8" name="PivotTable1"/>
    <pivotTable tabId="10" name="PivotTable3"/>
    <pivotTable tabId="12" name="PivotTable5"/>
    <pivotTable tabId="9" name="PivotTable2"/>
  </pivotTables>
  <data>
    <tabular pivotCacheId="882049353">
      <items count="5">
        <i x="0" s="1"/>
        <i x="1" s="1"/>
        <i x="2" s="1"/>
        <i x="3"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D37822-AD76-40F2-B20B-3EC06FCEF54E}" sourceName="Region">
  <pivotTables>
    <pivotTable tabId="8" name="PivotTable1"/>
    <pivotTable tabId="11" name="PivotTable4"/>
    <pivotTable tabId="12" name="PivotTable5"/>
    <pivotTable tabId="9" name="PivotTable2"/>
  </pivotTables>
  <data>
    <tabular pivotCacheId="882049353">
      <items count="4">
        <i x="2" s="1"/>
        <i x="1" s="1"/>
        <i x="3"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CE48529-15C6-4F8D-ABD5-05A683743957}" sourceName="Years">
  <pivotTables>
    <pivotTable tabId="8" name="PivotTable1"/>
    <pivotTable tabId="10" name="PivotTable3"/>
    <pivotTable tabId="11" name="PivotTable4"/>
    <pivotTable tabId="9" name="PivotTable2"/>
  </pivotTables>
  <data>
    <tabular pivotCacheId="882049353">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F628A42-F94F-4A8B-81B8-B76C411636F0}" cache="Slicer_Department" caption="Department" style="Project Style" rowHeight="241300"/>
  <slicer name="Region" xr10:uid="{67A3D8A2-F8E1-4803-A87B-0975E9DD64DD}" cache="Slicer_Region" caption="Region" style="Project Style" rowHeight="241300"/>
  <slicer name="Years" xr10:uid="{F4786472-10A8-4205-A043-F297F82A2429}" cache="Slicer_Years" caption="Years" style="Project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
  <sheetViews>
    <sheetView showGridLines="0" zoomScale="90" zoomScaleNormal="90" workbookViewId="0">
      <pane ySplit="1" topLeftCell="A2" activePane="bottomLeft" state="frozen"/>
      <selection pane="bottomLeft" sqref="A1:M100"/>
    </sheetView>
  </sheetViews>
  <sheetFormatPr defaultColWidth="0" defaultRowHeight="12" x14ac:dyDescent="0.3"/>
  <cols>
    <col min="1" max="1" width="22" style="1" bestFit="1" customWidth="1"/>
    <col min="2" max="2" width="22.6328125" style="1" bestFit="1" customWidth="1"/>
    <col min="3" max="3" width="15.6328125" style="1" bestFit="1" customWidth="1"/>
    <col min="4" max="4" width="15.7265625" style="1" bestFit="1" customWidth="1"/>
    <col min="5" max="5" width="11.54296875" style="1" bestFit="1" customWidth="1"/>
    <col min="6" max="6" width="8.1796875" style="1" bestFit="1" customWidth="1"/>
    <col min="7" max="7" width="10.54296875" style="2" bestFit="1" customWidth="1"/>
    <col min="8" max="8" width="10.81640625" style="2" bestFit="1" customWidth="1"/>
    <col min="9" max="9" width="9.453125" style="3" bestFit="1" customWidth="1"/>
    <col min="10" max="10" width="12.90625" style="4" bestFit="1" customWidth="1"/>
    <col min="11" max="11" width="14.81640625" style="4" bestFit="1" customWidth="1"/>
    <col min="12" max="12" width="11.08984375" style="1" bestFit="1" customWidth="1"/>
    <col min="13" max="13" width="18" style="1" bestFit="1" customWidth="1"/>
    <col min="14" max="15" width="0" style="5" hidden="1" customWidth="1"/>
    <col min="16" max="16384" width="8.7265625" style="5" hidden="1"/>
  </cols>
  <sheetData>
    <row r="1" spans="1:13" s="9" customFormat="1" x14ac:dyDescent="0.3">
      <c r="A1" s="6" t="s">
        <v>0</v>
      </c>
      <c r="B1" s="6" t="s">
        <v>1</v>
      </c>
      <c r="C1" s="6" t="s">
        <v>2</v>
      </c>
      <c r="D1" s="6" t="s">
        <v>4</v>
      </c>
      <c r="E1" s="6" t="s">
        <v>7</v>
      </c>
      <c r="F1" s="6" t="s">
        <v>3</v>
      </c>
      <c r="G1" s="7" t="s">
        <v>10</v>
      </c>
      <c r="H1" s="7" t="s">
        <v>11</v>
      </c>
      <c r="I1" s="7" t="s">
        <v>138</v>
      </c>
      <c r="J1" s="8" t="s">
        <v>5</v>
      </c>
      <c r="K1" s="8" t="s">
        <v>6</v>
      </c>
      <c r="L1" s="6" t="s">
        <v>8</v>
      </c>
      <c r="M1" s="6" t="s">
        <v>9</v>
      </c>
    </row>
    <row r="2" spans="1:13" x14ac:dyDescent="0.3">
      <c r="A2" s="1" t="s">
        <v>62</v>
      </c>
      <c r="B2" s="1" t="s">
        <v>139</v>
      </c>
      <c r="C2" s="1" t="s">
        <v>45</v>
      </c>
      <c r="D2" s="1" t="s">
        <v>15</v>
      </c>
      <c r="E2" s="1" t="s">
        <v>16</v>
      </c>
      <c r="F2" s="1" t="s">
        <v>20</v>
      </c>
      <c r="G2" s="2">
        <v>44652</v>
      </c>
      <c r="H2" s="2">
        <v>44743</v>
      </c>
      <c r="I2" s="3">
        <f t="shared" ref="I2:I33" si="0">H2-G2</f>
        <v>91</v>
      </c>
      <c r="J2" s="4">
        <v>5609775</v>
      </c>
      <c r="K2" s="4">
        <v>9084256</v>
      </c>
      <c r="L2" s="1" t="s">
        <v>26</v>
      </c>
      <c r="M2" s="1" t="s">
        <v>135</v>
      </c>
    </row>
    <row r="3" spans="1:13" x14ac:dyDescent="0.3">
      <c r="A3" s="1" t="s">
        <v>66</v>
      </c>
      <c r="B3" s="1" t="s">
        <v>139</v>
      </c>
      <c r="C3" s="1" t="s">
        <v>45</v>
      </c>
      <c r="D3" s="1" t="s">
        <v>15</v>
      </c>
      <c r="E3" s="1" t="s">
        <v>33</v>
      </c>
      <c r="F3" s="1" t="s">
        <v>14</v>
      </c>
      <c r="G3" s="2">
        <v>44682</v>
      </c>
      <c r="H3" s="2">
        <v>44774</v>
      </c>
      <c r="I3" s="3">
        <f t="shared" si="0"/>
        <v>92</v>
      </c>
      <c r="J3" s="4">
        <v>4502248</v>
      </c>
      <c r="K3" s="4">
        <v>9011638</v>
      </c>
      <c r="L3" s="1" t="s">
        <v>17</v>
      </c>
      <c r="M3" s="1" t="s">
        <v>137</v>
      </c>
    </row>
    <row r="4" spans="1:13" x14ac:dyDescent="0.3">
      <c r="A4" s="1" t="s">
        <v>117</v>
      </c>
      <c r="B4" s="1" t="s">
        <v>139</v>
      </c>
      <c r="C4" s="1" t="s">
        <v>45</v>
      </c>
      <c r="D4" s="1" t="s">
        <v>15</v>
      </c>
      <c r="E4" s="1" t="s">
        <v>37</v>
      </c>
      <c r="F4" s="1" t="s">
        <v>20</v>
      </c>
      <c r="G4" s="2">
        <v>45627</v>
      </c>
      <c r="H4" s="2">
        <v>45717</v>
      </c>
      <c r="I4" s="3">
        <f t="shared" si="0"/>
        <v>90</v>
      </c>
      <c r="J4" s="4">
        <v>3652611</v>
      </c>
      <c r="K4" s="4">
        <v>9115922</v>
      </c>
      <c r="L4" s="1" t="s">
        <v>26</v>
      </c>
      <c r="M4" s="1" t="s">
        <v>137</v>
      </c>
    </row>
    <row r="5" spans="1:13" x14ac:dyDescent="0.3">
      <c r="A5" s="1" t="s">
        <v>55</v>
      </c>
      <c r="B5" s="1" t="s">
        <v>140</v>
      </c>
      <c r="C5" s="1" t="s">
        <v>45</v>
      </c>
      <c r="D5" s="1" t="s">
        <v>15</v>
      </c>
      <c r="E5" s="1" t="s">
        <v>16</v>
      </c>
      <c r="F5" s="1" t="s">
        <v>28</v>
      </c>
      <c r="G5" s="2">
        <v>44470</v>
      </c>
      <c r="H5" s="2">
        <v>44562</v>
      </c>
      <c r="I5" s="3">
        <f t="shared" si="0"/>
        <v>92</v>
      </c>
      <c r="J5" s="4">
        <v>5505123</v>
      </c>
      <c r="K5" s="4">
        <v>9088011</v>
      </c>
      <c r="L5" s="1" t="s">
        <v>26</v>
      </c>
      <c r="M5" s="1" t="s">
        <v>135</v>
      </c>
    </row>
    <row r="6" spans="1:13" x14ac:dyDescent="0.3">
      <c r="A6" s="1" t="s">
        <v>110</v>
      </c>
      <c r="B6" s="1" t="s">
        <v>140</v>
      </c>
      <c r="C6" s="1" t="s">
        <v>45</v>
      </c>
      <c r="D6" s="1" t="s">
        <v>15</v>
      </c>
      <c r="E6" s="1" t="s">
        <v>16</v>
      </c>
      <c r="F6" s="1" t="s">
        <v>40</v>
      </c>
      <c r="G6" s="2">
        <v>45566</v>
      </c>
      <c r="H6" s="2">
        <v>45658</v>
      </c>
      <c r="I6" s="3">
        <f t="shared" si="0"/>
        <v>92</v>
      </c>
      <c r="J6" s="4">
        <v>4009744</v>
      </c>
      <c r="K6" s="4">
        <v>8725076</v>
      </c>
      <c r="L6" s="1" t="s">
        <v>22</v>
      </c>
      <c r="M6" s="1" t="s">
        <v>136</v>
      </c>
    </row>
    <row r="7" spans="1:13" x14ac:dyDescent="0.3">
      <c r="A7" s="1" t="s">
        <v>92</v>
      </c>
      <c r="B7" s="1" t="s">
        <v>141</v>
      </c>
      <c r="C7" s="1" t="s">
        <v>45</v>
      </c>
      <c r="D7" s="1" t="s">
        <v>15</v>
      </c>
      <c r="E7" s="1" t="s">
        <v>33</v>
      </c>
      <c r="F7" s="1" t="s">
        <v>20</v>
      </c>
      <c r="G7" s="2">
        <v>45139</v>
      </c>
      <c r="H7" s="2">
        <v>45231</v>
      </c>
      <c r="I7" s="3">
        <f t="shared" si="0"/>
        <v>92</v>
      </c>
      <c r="J7" s="4">
        <v>5949337</v>
      </c>
      <c r="K7" s="4">
        <v>9012834</v>
      </c>
      <c r="L7" s="1" t="s">
        <v>22</v>
      </c>
      <c r="M7" s="1" t="s">
        <v>136</v>
      </c>
    </row>
    <row r="8" spans="1:13" x14ac:dyDescent="0.3">
      <c r="A8" s="1" t="s">
        <v>84</v>
      </c>
      <c r="B8" s="1" t="s">
        <v>142</v>
      </c>
      <c r="C8" s="1" t="s">
        <v>19</v>
      </c>
      <c r="D8" s="1" t="s">
        <v>15</v>
      </c>
      <c r="E8" s="1" t="s">
        <v>33</v>
      </c>
      <c r="F8" s="1" t="s">
        <v>14</v>
      </c>
      <c r="G8" s="2">
        <v>44896</v>
      </c>
      <c r="H8" s="2">
        <v>44986</v>
      </c>
      <c r="I8" s="3">
        <f t="shared" si="0"/>
        <v>90</v>
      </c>
      <c r="J8" s="4">
        <v>4646988</v>
      </c>
      <c r="K8" s="4">
        <v>9006076</v>
      </c>
      <c r="L8" s="1" t="s">
        <v>26</v>
      </c>
      <c r="M8" s="1" t="s">
        <v>135</v>
      </c>
    </row>
    <row r="9" spans="1:13" x14ac:dyDescent="0.3">
      <c r="A9" s="1" t="s">
        <v>98</v>
      </c>
      <c r="B9" s="1" t="s">
        <v>139</v>
      </c>
      <c r="C9" s="1" t="s">
        <v>19</v>
      </c>
      <c r="D9" s="1" t="s">
        <v>15</v>
      </c>
      <c r="E9" s="1" t="s">
        <v>16</v>
      </c>
      <c r="F9" s="1" t="s">
        <v>14</v>
      </c>
      <c r="G9" s="2">
        <v>45231</v>
      </c>
      <c r="H9" s="2">
        <v>45323</v>
      </c>
      <c r="I9" s="3">
        <f t="shared" si="0"/>
        <v>92</v>
      </c>
      <c r="J9" s="4">
        <v>5156291</v>
      </c>
      <c r="K9" s="4">
        <v>8519274</v>
      </c>
      <c r="L9" s="1" t="s">
        <v>26</v>
      </c>
      <c r="M9" s="1" t="s">
        <v>137</v>
      </c>
    </row>
    <row r="10" spans="1:13" x14ac:dyDescent="0.3">
      <c r="A10" s="1" t="s">
        <v>56</v>
      </c>
      <c r="B10" s="1" t="s">
        <v>139</v>
      </c>
      <c r="C10" s="1" t="s">
        <v>49</v>
      </c>
      <c r="D10" s="1" t="s">
        <v>15</v>
      </c>
      <c r="E10" s="1" t="s">
        <v>37</v>
      </c>
      <c r="F10" s="1" t="s">
        <v>14</v>
      </c>
      <c r="G10" s="2">
        <v>44501</v>
      </c>
      <c r="H10" s="2">
        <v>44621</v>
      </c>
      <c r="I10" s="3">
        <f t="shared" si="0"/>
        <v>120</v>
      </c>
      <c r="J10" s="4">
        <v>2548471</v>
      </c>
      <c r="K10" s="4">
        <v>9025609</v>
      </c>
      <c r="L10" s="1" t="s">
        <v>22</v>
      </c>
      <c r="M10" s="1" t="s">
        <v>137</v>
      </c>
    </row>
    <row r="11" spans="1:13" x14ac:dyDescent="0.3">
      <c r="A11" s="1" t="s">
        <v>57</v>
      </c>
      <c r="B11" s="1" t="s">
        <v>142</v>
      </c>
      <c r="C11" s="1" t="s">
        <v>31</v>
      </c>
      <c r="D11" s="1" t="s">
        <v>15</v>
      </c>
      <c r="E11" s="1" t="s">
        <v>16</v>
      </c>
      <c r="F11" s="1" t="s">
        <v>28</v>
      </c>
      <c r="G11" s="2">
        <v>44531</v>
      </c>
      <c r="H11" s="2">
        <v>44621</v>
      </c>
      <c r="I11" s="3">
        <f t="shared" si="0"/>
        <v>90</v>
      </c>
      <c r="J11" s="4">
        <v>5869643</v>
      </c>
      <c r="K11" s="4">
        <v>8802862</v>
      </c>
      <c r="L11" s="1" t="s">
        <v>26</v>
      </c>
      <c r="M11" s="1" t="s">
        <v>135</v>
      </c>
    </row>
    <row r="12" spans="1:13" x14ac:dyDescent="0.3">
      <c r="A12" s="1" t="s">
        <v>52</v>
      </c>
      <c r="B12" s="1" t="s">
        <v>141</v>
      </c>
      <c r="C12" s="1" t="s">
        <v>31</v>
      </c>
      <c r="D12" s="1" t="s">
        <v>15</v>
      </c>
      <c r="E12" s="1" t="s">
        <v>16</v>
      </c>
      <c r="F12" s="1" t="s">
        <v>40</v>
      </c>
      <c r="G12" s="2">
        <v>44409</v>
      </c>
      <c r="H12" s="2">
        <v>44501</v>
      </c>
      <c r="I12" s="3">
        <f t="shared" si="0"/>
        <v>92</v>
      </c>
      <c r="J12" s="4">
        <v>4413449</v>
      </c>
      <c r="K12" s="4">
        <v>8547257</v>
      </c>
      <c r="L12" s="1" t="s">
        <v>26</v>
      </c>
      <c r="M12" s="1" t="s">
        <v>136</v>
      </c>
    </row>
    <row r="13" spans="1:13" x14ac:dyDescent="0.3">
      <c r="A13" s="1" t="s">
        <v>76</v>
      </c>
      <c r="B13" s="1" t="s">
        <v>142</v>
      </c>
      <c r="C13" s="1" t="s">
        <v>39</v>
      </c>
      <c r="D13" s="1" t="s">
        <v>15</v>
      </c>
      <c r="E13" s="1" t="s">
        <v>37</v>
      </c>
      <c r="F13" s="1" t="s">
        <v>20</v>
      </c>
      <c r="G13" s="2">
        <v>44805</v>
      </c>
      <c r="H13" s="2">
        <v>44896</v>
      </c>
      <c r="I13" s="3">
        <f t="shared" si="0"/>
        <v>91</v>
      </c>
      <c r="J13" s="4">
        <v>2745999</v>
      </c>
      <c r="K13" s="4">
        <v>8567877</v>
      </c>
      <c r="L13" s="1" t="s">
        <v>22</v>
      </c>
      <c r="M13" s="1" t="s">
        <v>136</v>
      </c>
    </row>
    <row r="14" spans="1:13" x14ac:dyDescent="0.3">
      <c r="A14" s="1" t="s">
        <v>53</v>
      </c>
      <c r="B14" s="1" t="s">
        <v>139</v>
      </c>
      <c r="C14" s="1" t="s">
        <v>39</v>
      </c>
      <c r="D14" s="1" t="s">
        <v>15</v>
      </c>
      <c r="E14" s="1" t="s">
        <v>16</v>
      </c>
      <c r="F14" s="1" t="s">
        <v>40</v>
      </c>
      <c r="G14" s="2">
        <v>44440</v>
      </c>
      <c r="H14" s="2">
        <v>44531</v>
      </c>
      <c r="I14" s="3">
        <f t="shared" si="0"/>
        <v>91</v>
      </c>
      <c r="J14" s="4">
        <v>3440225</v>
      </c>
      <c r="K14" s="4">
        <v>8761979</v>
      </c>
      <c r="L14" s="1" t="s">
        <v>17</v>
      </c>
      <c r="M14" s="1" t="s">
        <v>135</v>
      </c>
    </row>
    <row r="15" spans="1:13" x14ac:dyDescent="0.3">
      <c r="A15" s="1" t="s">
        <v>82</v>
      </c>
      <c r="B15" s="1" t="s">
        <v>139</v>
      </c>
      <c r="C15" s="1" t="s">
        <v>24</v>
      </c>
      <c r="D15" s="1" t="s">
        <v>15</v>
      </c>
      <c r="E15" s="1" t="s">
        <v>37</v>
      </c>
      <c r="F15" s="1" t="s">
        <v>20</v>
      </c>
      <c r="G15" s="2">
        <v>44866</v>
      </c>
      <c r="H15" s="2">
        <v>44986</v>
      </c>
      <c r="I15" s="3">
        <f t="shared" si="0"/>
        <v>120</v>
      </c>
      <c r="J15" s="4">
        <v>5072095</v>
      </c>
      <c r="K15" s="4">
        <v>8665889</v>
      </c>
      <c r="L15" s="1" t="s">
        <v>42</v>
      </c>
      <c r="M15" s="1" t="s">
        <v>136</v>
      </c>
    </row>
    <row r="16" spans="1:13" x14ac:dyDescent="0.3">
      <c r="A16" s="1" t="s">
        <v>71</v>
      </c>
      <c r="B16" s="1" t="s">
        <v>142</v>
      </c>
      <c r="C16" s="1" t="s">
        <v>13</v>
      </c>
      <c r="D16" s="1" t="s">
        <v>15</v>
      </c>
      <c r="E16" s="1" t="s">
        <v>33</v>
      </c>
      <c r="F16" s="1" t="s">
        <v>14</v>
      </c>
      <c r="G16" s="2">
        <v>44743</v>
      </c>
      <c r="H16" s="2">
        <v>44835</v>
      </c>
      <c r="I16" s="3">
        <f t="shared" si="0"/>
        <v>92</v>
      </c>
      <c r="J16" s="4">
        <v>5859707</v>
      </c>
      <c r="K16" s="4">
        <v>8697391</v>
      </c>
      <c r="L16" s="1" t="s">
        <v>17</v>
      </c>
      <c r="M16" s="1" t="s">
        <v>136</v>
      </c>
    </row>
    <row r="17" spans="1:13" x14ac:dyDescent="0.3">
      <c r="A17" s="1" t="s">
        <v>128</v>
      </c>
      <c r="B17" s="1" t="s">
        <v>142</v>
      </c>
      <c r="C17" s="1" t="s">
        <v>13</v>
      </c>
      <c r="D17" s="1" t="s">
        <v>15</v>
      </c>
      <c r="E17" s="1" t="s">
        <v>33</v>
      </c>
      <c r="F17" s="1" t="s">
        <v>20</v>
      </c>
      <c r="G17" s="2">
        <v>45870</v>
      </c>
      <c r="H17" s="2">
        <v>45962</v>
      </c>
      <c r="I17" s="3">
        <f t="shared" si="0"/>
        <v>92</v>
      </c>
      <c r="J17" s="4">
        <v>4908311</v>
      </c>
      <c r="K17" s="4">
        <v>9069817</v>
      </c>
      <c r="L17" s="1" t="s">
        <v>17</v>
      </c>
      <c r="M17" s="1" t="s">
        <v>135</v>
      </c>
    </row>
    <row r="18" spans="1:13" x14ac:dyDescent="0.3">
      <c r="A18" s="1" t="s">
        <v>12</v>
      </c>
      <c r="B18" s="1" t="s">
        <v>139</v>
      </c>
      <c r="C18" s="1" t="s">
        <v>13</v>
      </c>
      <c r="D18" s="1" t="s">
        <v>15</v>
      </c>
      <c r="E18" s="1" t="s">
        <v>16</v>
      </c>
      <c r="F18" s="1" t="s">
        <v>14</v>
      </c>
      <c r="G18" s="2">
        <v>44228</v>
      </c>
      <c r="H18" s="2">
        <v>44348</v>
      </c>
      <c r="I18" s="3">
        <f t="shared" si="0"/>
        <v>120</v>
      </c>
      <c r="J18" s="4">
        <v>3648615</v>
      </c>
      <c r="K18" s="4">
        <v>8443980</v>
      </c>
      <c r="L18" s="1" t="s">
        <v>17</v>
      </c>
      <c r="M18" s="1" t="s">
        <v>136</v>
      </c>
    </row>
    <row r="19" spans="1:13" x14ac:dyDescent="0.3">
      <c r="A19" s="1" t="s">
        <v>43</v>
      </c>
      <c r="B19" s="1" t="s">
        <v>139</v>
      </c>
      <c r="C19" s="1" t="s">
        <v>13</v>
      </c>
      <c r="D19" s="1" t="s">
        <v>15</v>
      </c>
      <c r="E19" s="1" t="s">
        <v>16</v>
      </c>
      <c r="F19" s="1" t="s">
        <v>40</v>
      </c>
      <c r="G19" s="2">
        <v>44317</v>
      </c>
      <c r="H19" s="2">
        <v>44409</v>
      </c>
      <c r="I19" s="3">
        <f t="shared" si="0"/>
        <v>92</v>
      </c>
      <c r="J19" s="4">
        <v>3508173</v>
      </c>
      <c r="K19" s="4">
        <v>8762992</v>
      </c>
      <c r="L19" s="1" t="s">
        <v>42</v>
      </c>
      <c r="M19" s="1" t="s">
        <v>137</v>
      </c>
    </row>
    <row r="20" spans="1:13" x14ac:dyDescent="0.3">
      <c r="A20" s="1" t="s">
        <v>44</v>
      </c>
      <c r="B20" s="1" t="s">
        <v>141</v>
      </c>
      <c r="C20" s="1" t="s">
        <v>45</v>
      </c>
      <c r="D20" s="1" t="s">
        <v>21</v>
      </c>
      <c r="E20" s="1" t="s">
        <v>33</v>
      </c>
      <c r="F20" s="1" t="s">
        <v>20</v>
      </c>
      <c r="G20" s="2">
        <v>44317</v>
      </c>
      <c r="H20" s="2">
        <v>44409</v>
      </c>
      <c r="I20" s="3">
        <f t="shared" si="0"/>
        <v>92</v>
      </c>
      <c r="J20" s="4">
        <v>2534102</v>
      </c>
      <c r="K20" s="4">
        <v>9072551</v>
      </c>
      <c r="L20" s="1" t="s">
        <v>17</v>
      </c>
      <c r="M20" s="1" t="s">
        <v>135</v>
      </c>
    </row>
    <row r="21" spans="1:13" x14ac:dyDescent="0.3">
      <c r="A21" s="1" t="s">
        <v>123</v>
      </c>
      <c r="B21" s="1" t="s">
        <v>142</v>
      </c>
      <c r="C21" s="1" t="s">
        <v>19</v>
      </c>
      <c r="D21" s="1" t="s">
        <v>21</v>
      </c>
      <c r="E21" s="1" t="s">
        <v>33</v>
      </c>
      <c r="F21" s="1" t="s">
        <v>20</v>
      </c>
      <c r="G21" s="2">
        <v>45809</v>
      </c>
      <c r="H21" s="2">
        <v>45901</v>
      </c>
      <c r="I21" s="3">
        <f t="shared" si="0"/>
        <v>92</v>
      </c>
      <c r="J21" s="4">
        <v>2681420</v>
      </c>
      <c r="K21" s="4">
        <v>9089277</v>
      </c>
      <c r="L21" s="1" t="s">
        <v>26</v>
      </c>
      <c r="M21" s="1" t="s">
        <v>135</v>
      </c>
    </row>
    <row r="22" spans="1:13" x14ac:dyDescent="0.3">
      <c r="A22" s="1" t="s">
        <v>18</v>
      </c>
      <c r="B22" s="1" t="s">
        <v>139</v>
      </c>
      <c r="C22" s="1" t="s">
        <v>19</v>
      </c>
      <c r="D22" s="1" t="s">
        <v>21</v>
      </c>
      <c r="E22" s="1" t="s">
        <v>16</v>
      </c>
      <c r="F22" s="1" t="s">
        <v>20</v>
      </c>
      <c r="G22" s="2">
        <v>44256</v>
      </c>
      <c r="H22" s="2">
        <v>44348</v>
      </c>
      <c r="I22" s="3">
        <f t="shared" si="0"/>
        <v>92</v>
      </c>
      <c r="J22" s="4">
        <v>4018835</v>
      </c>
      <c r="K22" s="4">
        <v>9012225</v>
      </c>
      <c r="L22" s="1" t="s">
        <v>22</v>
      </c>
      <c r="M22" s="1" t="s">
        <v>135</v>
      </c>
    </row>
    <row r="23" spans="1:13" ht="11.5" customHeight="1" x14ac:dyDescent="0.3">
      <c r="A23" s="1" t="s">
        <v>69</v>
      </c>
      <c r="B23" s="1" t="s">
        <v>139</v>
      </c>
      <c r="C23" s="1" t="s">
        <v>19</v>
      </c>
      <c r="D23" s="1" t="s">
        <v>21</v>
      </c>
      <c r="E23" s="1" t="s">
        <v>33</v>
      </c>
      <c r="F23" s="1" t="s">
        <v>20</v>
      </c>
      <c r="G23" s="2">
        <v>44713</v>
      </c>
      <c r="H23" s="2">
        <v>44805</v>
      </c>
      <c r="I23" s="3">
        <f t="shared" si="0"/>
        <v>92</v>
      </c>
      <c r="J23" s="4">
        <v>5913478</v>
      </c>
      <c r="K23" s="4">
        <v>9096409</v>
      </c>
      <c r="L23" s="1" t="s">
        <v>22</v>
      </c>
      <c r="M23" s="1" t="s">
        <v>134</v>
      </c>
    </row>
    <row r="24" spans="1:13" x14ac:dyDescent="0.3">
      <c r="A24" s="1" t="s">
        <v>100</v>
      </c>
      <c r="B24" s="1" t="s">
        <v>140</v>
      </c>
      <c r="C24" s="1" t="s">
        <v>19</v>
      </c>
      <c r="D24" s="1" t="s">
        <v>21</v>
      </c>
      <c r="E24" s="1" t="s">
        <v>37</v>
      </c>
      <c r="F24" s="1" t="s">
        <v>14</v>
      </c>
      <c r="G24" s="2">
        <v>45231</v>
      </c>
      <c r="H24" s="2">
        <v>45323</v>
      </c>
      <c r="I24" s="3">
        <f t="shared" si="0"/>
        <v>92</v>
      </c>
      <c r="J24" s="4">
        <v>4569504</v>
      </c>
      <c r="K24" s="4">
        <v>8678737</v>
      </c>
      <c r="L24" s="1" t="s">
        <v>17</v>
      </c>
      <c r="M24" s="1" t="s">
        <v>136</v>
      </c>
    </row>
    <row r="25" spans="1:13" x14ac:dyDescent="0.3">
      <c r="A25" s="1" t="s">
        <v>119</v>
      </c>
      <c r="B25" s="1" t="s">
        <v>140</v>
      </c>
      <c r="C25" s="1" t="s">
        <v>19</v>
      </c>
      <c r="D25" s="1" t="s">
        <v>21</v>
      </c>
      <c r="E25" s="1" t="s">
        <v>16</v>
      </c>
      <c r="F25" s="1" t="s">
        <v>20</v>
      </c>
      <c r="G25" s="2">
        <v>45658</v>
      </c>
      <c r="H25" s="2">
        <v>45778</v>
      </c>
      <c r="I25" s="3">
        <f t="shared" si="0"/>
        <v>120</v>
      </c>
      <c r="J25" s="4">
        <v>4286305</v>
      </c>
      <c r="K25" s="4">
        <v>8685423</v>
      </c>
      <c r="L25" s="1" t="s">
        <v>42</v>
      </c>
      <c r="M25" s="1" t="s">
        <v>136</v>
      </c>
    </row>
    <row r="26" spans="1:13" x14ac:dyDescent="0.3">
      <c r="A26" s="1" t="s">
        <v>99</v>
      </c>
      <c r="B26" s="1" t="s">
        <v>142</v>
      </c>
      <c r="C26" s="1" t="s">
        <v>49</v>
      </c>
      <c r="D26" s="1" t="s">
        <v>21</v>
      </c>
      <c r="E26" s="1" t="s">
        <v>37</v>
      </c>
      <c r="F26" s="1" t="s">
        <v>14</v>
      </c>
      <c r="G26" s="2">
        <v>45231</v>
      </c>
      <c r="H26" s="2">
        <v>45323</v>
      </c>
      <c r="I26" s="3">
        <f t="shared" si="0"/>
        <v>92</v>
      </c>
      <c r="J26" s="4">
        <v>3014053</v>
      </c>
      <c r="K26" s="4">
        <v>8904627</v>
      </c>
      <c r="L26" s="1" t="s">
        <v>26</v>
      </c>
      <c r="M26" s="1" t="s">
        <v>135</v>
      </c>
    </row>
    <row r="27" spans="1:13" x14ac:dyDescent="0.3">
      <c r="A27" s="1" t="s">
        <v>108</v>
      </c>
      <c r="B27" s="1" t="s">
        <v>139</v>
      </c>
      <c r="C27" s="1" t="s">
        <v>49</v>
      </c>
      <c r="D27" s="1" t="s">
        <v>21</v>
      </c>
      <c r="E27" s="1" t="s">
        <v>16</v>
      </c>
      <c r="F27" s="1" t="s">
        <v>14</v>
      </c>
      <c r="G27" s="2">
        <v>45536</v>
      </c>
      <c r="H27" s="2">
        <v>45627</v>
      </c>
      <c r="I27" s="3">
        <f t="shared" si="0"/>
        <v>91</v>
      </c>
      <c r="J27" s="4">
        <v>2418301</v>
      </c>
      <c r="K27" s="4">
        <v>9138940</v>
      </c>
      <c r="L27" s="1" t="s">
        <v>22</v>
      </c>
      <c r="M27" s="1" t="s">
        <v>136</v>
      </c>
    </row>
    <row r="28" spans="1:13" x14ac:dyDescent="0.3">
      <c r="A28" s="1" t="s">
        <v>48</v>
      </c>
      <c r="B28" s="1" t="s">
        <v>140</v>
      </c>
      <c r="C28" s="1" t="s">
        <v>49</v>
      </c>
      <c r="D28" s="1" t="s">
        <v>21</v>
      </c>
      <c r="E28" s="1" t="s">
        <v>16</v>
      </c>
      <c r="F28" s="1" t="s">
        <v>14</v>
      </c>
      <c r="G28" s="2">
        <v>44348</v>
      </c>
      <c r="H28" s="2">
        <v>44440</v>
      </c>
      <c r="I28" s="3">
        <f t="shared" si="0"/>
        <v>92</v>
      </c>
      <c r="J28" s="4">
        <v>4170710</v>
      </c>
      <c r="K28" s="4">
        <v>8848636</v>
      </c>
      <c r="L28" s="1" t="s">
        <v>22</v>
      </c>
      <c r="M28" s="1" t="s">
        <v>137</v>
      </c>
    </row>
    <row r="29" spans="1:13" x14ac:dyDescent="0.3">
      <c r="A29" s="1" t="s">
        <v>102</v>
      </c>
      <c r="B29" s="1" t="s">
        <v>141</v>
      </c>
      <c r="C29" s="1" t="s">
        <v>49</v>
      </c>
      <c r="D29" s="1" t="s">
        <v>21</v>
      </c>
      <c r="E29" s="1" t="s">
        <v>33</v>
      </c>
      <c r="F29" s="1" t="s">
        <v>28</v>
      </c>
      <c r="G29" s="2">
        <v>45323</v>
      </c>
      <c r="H29" s="2">
        <v>45413</v>
      </c>
      <c r="I29" s="3">
        <f t="shared" si="0"/>
        <v>90</v>
      </c>
      <c r="J29" s="4">
        <v>4603061</v>
      </c>
      <c r="K29" s="4">
        <v>8654153</v>
      </c>
      <c r="L29" s="1" t="s">
        <v>26</v>
      </c>
      <c r="M29" s="1" t="s">
        <v>135</v>
      </c>
    </row>
    <row r="30" spans="1:13" x14ac:dyDescent="0.3">
      <c r="A30" s="1" t="s">
        <v>132</v>
      </c>
      <c r="B30" s="1" t="s">
        <v>142</v>
      </c>
      <c r="C30" s="1" t="s">
        <v>31</v>
      </c>
      <c r="D30" s="1" t="s">
        <v>21</v>
      </c>
      <c r="E30" s="1" t="s">
        <v>16</v>
      </c>
      <c r="F30" s="1" t="s">
        <v>28</v>
      </c>
      <c r="G30" s="2">
        <v>45962</v>
      </c>
      <c r="H30" s="2">
        <v>46082</v>
      </c>
      <c r="I30" s="3">
        <f t="shared" si="0"/>
        <v>120</v>
      </c>
      <c r="J30" s="4">
        <v>4606575</v>
      </c>
      <c r="K30" s="4">
        <v>8658343</v>
      </c>
      <c r="L30" s="1" t="s">
        <v>17</v>
      </c>
      <c r="M30" s="1" t="s">
        <v>136</v>
      </c>
    </row>
    <row r="31" spans="1:13" x14ac:dyDescent="0.3">
      <c r="A31" s="1" t="s">
        <v>51</v>
      </c>
      <c r="B31" s="1" t="s">
        <v>140</v>
      </c>
      <c r="C31" s="1" t="s">
        <v>31</v>
      </c>
      <c r="D31" s="1" t="s">
        <v>21</v>
      </c>
      <c r="E31" s="1" t="s">
        <v>33</v>
      </c>
      <c r="F31" s="1" t="s">
        <v>40</v>
      </c>
      <c r="G31" s="2">
        <v>44378</v>
      </c>
      <c r="H31" s="2">
        <v>44470</v>
      </c>
      <c r="I31" s="3">
        <f t="shared" si="0"/>
        <v>92</v>
      </c>
      <c r="J31" s="4">
        <v>3478794</v>
      </c>
      <c r="K31" s="4">
        <v>8846264</v>
      </c>
      <c r="L31" s="1" t="s">
        <v>22</v>
      </c>
      <c r="M31" s="1" t="s">
        <v>135</v>
      </c>
    </row>
    <row r="32" spans="1:13" x14ac:dyDescent="0.3">
      <c r="A32" s="1" t="s">
        <v>30</v>
      </c>
      <c r="B32" s="1" t="s">
        <v>141</v>
      </c>
      <c r="C32" s="1" t="s">
        <v>31</v>
      </c>
      <c r="D32" s="1" t="s">
        <v>21</v>
      </c>
      <c r="E32" s="1" t="s">
        <v>16</v>
      </c>
      <c r="F32" s="1" t="s">
        <v>28</v>
      </c>
      <c r="G32" s="2">
        <v>44256</v>
      </c>
      <c r="H32" s="2">
        <v>44348</v>
      </c>
      <c r="I32" s="3">
        <f t="shared" si="0"/>
        <v>92</v>
      </c>
      <c r="J32" s="4">
        <v>5785601</v>
      </c>
      <c r="K32" s="4">
        <v>8630148</v>
      </c>
      <c r="L32" s="1" t="s">
        <v>26</v>
      </c>
      <c r="M32" s="1" t="s">
        <v>134</v>
      </c>
    </row>
    <row r="33" spans="1:13" x14ac:dyDescent="0.3">
      <c r="A33" s="1" t="s">
        <v>77</v>
      </c>
      <c r="B33" s="1" t="s">
        <v>141</v>
      </c>
      <c r="C33" s="1" t="s">
        <v>31</v>
      </c>
      <c r="D33" s="1" t="s">
        <v>21</v>
      </c>
      <c r="E33" s="1" t="s">
        <v>33</v>
      </c>
      <c r="F33" s="1" t="s">
        <v>20</v>
      </c>
      <c r="G33" s="2">
        <v>44805</v>
      </c>
      <c r="H33" s="2">
        <v>44896</v>
      </c>
      <c r="I33" s="3">
        <f t="shared" si="0"/>
        <v>91</v>
      </c>
      <c r="J33" s="4">
        <v>3787473</v>
      </c>
      <c r="K33" s="4">
        <v>8726782</v>
      </c>
      <c r="L33" s="1" t="s">
        <v>22</v>
      </c>
      <c r="M33" s="1" t="s">
        <v>134</v>
      </c>
    </row>
    <row r="34" spans="1:13" x14ac:dyDescent="0.3">
      <c r="A34" s="1" t="s">
        <v>72</v>
      </c>
      <c r="B34" s="1" t="s">
        <v>142</v>
      </c>
      <c r="C34" s="1" t="s">
        <v>39</v>
      </c>
      <c r="D34" s="1" t="s">
        <v>21</v>
      </c>
      <c r="E34" s="1" t="s">
        <v>16</v>
      </c>
      <c r="F34" s="1" t="s">
        <v>20</v>
      </c>
      <c r="G34" s="2">
        <v>44743</v>
      </c>
      <c r="H34" s="2">
        <v>44835</v>
      </c>
      <c r="I34" s="3">
        <f t="shared" ref="I34:I65" si="1">H34-G34</f>
        <v>92</v>
      </c>
      <c r="J34" s="4">
        <v>4172827</v>
      </c>
      <c r="K34" s="4">
        <v>8942009</v>
      </c>
      <c r="L34" s="1" t="s">
        <v>17</v>
      </c>
      <c r="M34" s="1" t="s">
        <v>134</v>
      </c>
    </row>
    <row r="35" spans="1:13" x14ac:dyDescent="0.3">
      <c r="A35" s="1" t="s">
        <v>103</v>
      </c>
      <c r="B35" s="1" t="s">
        <v>140</v>
      </c>
      <c r="C35" s="1" t="s">
        <v>39</v>
      </c>
      <c r="D35" s="1" t="s">
        <v>21</v>
      </c>
      <c r="E35" s="1" t="s">
        <v>16</v>
      </c>
      <c r="F35" s="1" t="s">
        <v>40</v>
      </c>
      <c r="G35" s="2">
        <v>45352</v>
      </c>
      <c r="H35" s="2">
        <v>45444</v>
      </c>
      <c r="I35" s="3">
        <f t="shared" si="1"/>
        <v>92</v>
      </c>
      <c r="J35" s="4">
        <v>4505046</v>
      </c>
      <c r="K35" s="4">
        <v>9026066</v>
      </c>
      <c r="L35" s="1" t="s">
        <v>22</v>
      </c>
      <c r="M35" s="1" t="s">
        <v>136</v>
      </c>
    </row>
    <row r="36" spans="1:13" x14ac:dyDescent="0.3">
      <c r="A36" s="1" t="s">
        <v>36</v>
      </c>
      <c r="B36" s="1" t="s">
        <v>142</v>
      </c>
      <c r="C36" s="1" t="s">
        <v>24</v>
      </c>
      <c r="D36" s="1" t="s">
        <v>21</v>
      </c>
      <c r="E36" s="1" t="s">
        <v>37</v>
      </c>
      <c r="F36" s="1" t="s">
        <v>14</v>
      </c>
      <c r="G36" s="2">
        <v>44317</v>
      </c>
      <c r="H36" s="2">
        <v>44409</v>
      </c>
      <c r="I36" s="3">
        <f t="shared" si="1"/>
        <v>92</v>
      </c>
      <c r="J36" s="4">
        <v>3442649</v>
      </c>
      <c r="K36" s="4">
        <v>9070797</v>
      </c>
      <c r="L36" s="1" t="s">
        <v>26</v>
      </c>
      <c r="M36" s="1" t="s">
        <v>135</v>
      </c>
    </row>
    <row r="37" spans="1:13" x14ac:dyDescent="0.3">
      <c r="A37" s="1" t="s">
        <v>70</v>
      </c>
      <c r="B37" s="1" t="s">
        <v>139</v>
      </c>
      <c r="C37" s="1" t="s">
        <v>13</v>
      </c>
      <c r="D37" s="1" t="s">
        <v>21</v>
      </c>
      <c r="E37" s="1" t="s">
        <v>37</v>
      </c>
      <c r="F37" s="1" t="s">
        <v>40</v>
      </c>
      <c r="G37" s="2">
        <v>44743</v>
      </c>
      <c r="H37" s="2">
        <v>44835</v>
      </c>
      <c r="I37" s="3">
        <f t="shared" si="1"/>
        <v>92</v>
      </c>
      <c r="J37" s="4">
        <v>2631019</v>
      </c>
      <c r="K37" s="4">
        <v>8584025</v>
      </c>
      <c r="L37" s="1" t="s">
        <v>26</v>
      </c>
      <c r="M37" s="1" t="s">
        <v>135</v>
      </c>
    </row>
    <row r="38" spans="1:13" x14ac:dyDescent="0.3">
      <c r="A38" s="1" t="s">
        <v>63</v>
      </c>
      <c r="B38" s="1" t="s">
        <v>140</v>
      </c>
      <c r="C38" s="1" t="s">
        <v>13</v>
      </c>
      <c r="D38" s="1" t="s">
        <v>21</v>
      </c>
      <c r="E38" s="1" t="s">
        <v>37</v>
      </c>
      <c r="F38" s="1" t="s">
        <v>40</v>
      </c>
      <c r="G38" s="2">
        <v>44652</v>
      </c>
      <c r="H38" s="2">
        <v>44743</v>
      </c>
      <c r="I38" s="3">
        <f t="shared" si="1"/>
        <v>91</v>
      </c>
      <c r="J38" s="4">
        <v>5044306</v>
      </c>
      <c r="K38" s="4">
        <v>8752182</v>
      </c>
      <c r="L38" s="1" t="s">
        <v>26</v>
      </c>
      <c r="M38" s="1" t="s">
        <v>134</v>
      </c>
    </row>
    <row r="39" spans="1:13" x14ac:dyDescent="0.3">
      <c r="A39" s="1" t="s">
        <v>64</v>
      </c>
      <c r="B39" s="1" t="s">
        <v>140</v>
      </c>
      <c r="C39" s="1" t="s">
        <v>13</v>
      </c>
      <c r="D39" s="1" t="s">
        <v>21</v>
      </c>
      <c r="E39" s="1" t="s">
        <v>33</v>
      </c>
      <c r="F39" s="1" t="s">
        <v>14</v>
      </c>
      <c r="G39" s="2">
        <v>44652</v>
      </c>
      <c r="H39" s="2">
        <v>44743</v>
      </c>
      <c r="I39" s="3">
        <f t="shared" si="1"/>
        <v>91</v>
      </c>
      <c r="J39" s="4">
        <v>2931685</v>
      </c>
      <c r="K39" s="4">
        <v>8971678</v>
      </c>
      <c r="L39" s="1" t="s">
        <v>42</v>
      </c>
      <c r="M39" s="1" t="s">
        <v>134</v>
      </c>
    </row>
    <row r="40" spans="1:13" x14ac:dyDescent="0.3">
      <c r="A40" s="1" t="s">
        <v>114</v>
      </c>
      <c r="B40" s="1" t="s">
        <v>140</v>
      </c>
      <c r="C40" s="1" t="s">
        <v>45</v>
      </c>
      <c r="D40" s="1" t="s">
        <v>29</v>
      </c>
      <c r="E40" s="1" t="s">
        <v>37</v>
      </c>
      <c r="F40" s="1" t="s">
        <v>28</v>
      </c>
      <c r="G40" s="2">
        <v>45597</v>
      </c>
      <c r="H40" s="2">
        <v>45717</v>
      </c>
      <c r="I40" s="3">
        <f t="shared" si="1"/>
        <v>120</v>
      </c>
      <c r="J40" s="4">
        <v>2781408</v>
      </c>
      <c r="K40" s="4">
        <v>9073188</v>
      </c>
      <c r="L40" s="1" t="s">
        <v>22</v>
      </c>
      <c r="M40" s="1" t="s">
        <v>137</v>
      </c>
    </row>
    <row r="41" spans="1:13" x14ac:dyDescent="0.3">
      <c r="A41" s="1" t="s">
        <v>59</v>
      </c>
      <c r="B41" s="1" t="s">
        <v>139</v>
      </c>
      <c r="C41" s="1" t="s">
        <v>19</v>
      </c>
      <c r="D41" s="1" t="s">
        <v>29</v>
      </c>
      <c r="E41" s="1" t="s">
        <v>37</v>
      </c>
      <c r="F41" s="1" t="s">
        <v>20</v>
      </c>
      <c r="G41" s="2">
        <v>44593</v>
      </c>
      <c r="H41" s="2">
        <v>44713</v>
      </c>
      <c r="I41" s="3">
        <f t="shared" si="1"/>
        <v>120</v>
      </c>
      <c r="J41" s="4">
        <v>3814857</v>
      </c>
      <c r="K41" s="4">
        <v>8529903</v>
      </c>
      <c r="L41" s="1" t="s">
        <v>22</v>
      </c>
      <c r="M41" s="1" t="s">
        <v>137</v>
      </c>
    </row>
    <row r="42" spans="1:13" x14ac:dyDescent="0.3">
      <c r="A42" s="1" t="s">
        <v>90</v>
      </c>
      <c r="B42" s="1" t="s">
        <v>139</v>
      </c>
      <c r="C42" s="1" t="s">
        <v>19</v>
      </c>
      <c r="D42" s="1" t="s">
        <v>29</v>
      </c>
      <c r="E42" s="1" t="s">
        <v>16</v>
      </c>
      <c r="F42" s="1" t="s">
        <v>14</v>
      </c>
      <c r="G42" s="2">
        <v>45108</v>
      </c>
      <c r="H42" s="2">
        <v>45200</v>
      </c>
      <c r="I42" s="3">
        <f t="shared" si="1"/>
        <v>92</v>
      </c>
      <c r="J42" s="4">
        <v>5643858</v>
      </c>
      <c r="K42" s="4">
        <v>8573039</v>
      </c>
      <c r="L42" s="1" t="s">
        <v>22</v>
      </c>
      <c r="M42" s="1" t="s">
        <v>137</v>
      </c>
    </row>
    <row r="43" spans="1:13" x14ac:dyDescent="0.3">
      <c r="A43" s="1" t="s">
        <v>27</v>
      </c>
      <c r="B43" s="1" t="s">
        <v>140</v>
      </c>
      <c r="C43" s="1" t="s">
        <v>19</v>
      </c>
      <c r="D43" s="1" t="s">
        <v>29</v>
      </c>
      <c r="E43" s="1" t="s">
        <v>16</v>
      </c>
      <c r="F43" s="1" t="s">
        <v>28</v>
      </c>
      <c r="G43" s="2">
        <v>44256</v>
      </c>
      <c r="H43" s="2">
        <v>44348</v>
      </c>
      <c r="I43" s="3">
        <f t="shared" si="1"/>
        <v>92</v>
      </c>
      <c r="J43" s="4">
        <v>5285864</v>
      </c>
      <c r="K43" s="4">
        <v>8719006</v>
      </c>
      <c r="L43" s="1" t="s">
        <v>22</v>
      </c>
      <c r="M43" s="1" t="s">
        <v>137</v>
      </c>
    </row>
    <row r="44" spans="1:13" x14ac:dyDescent="0.3">
      <c r="A44" s="1" t="s">
        <v>94</v>
      </c>
      <c r="B44" s="1" t="s">
        <v>139</v>
      </c>
      <c r="C44" s="1" t="s">
        <v>49</v>
      </c>
      <c r="D44" s="1" t="s">
        <v>29</v>
      </c>
      <c r="E44" s="1" t="s">
        <v>16</v>
      </c>
      <c r="F44" s="1" t="s">
        <v>28</v>
      </c>
      <c r="G44" s="2">
        <v>45170</v>
      </c>
      <c r="H44" s="2">
        <v>45261</v>
      </c>
      <c r="I44" s="3">
        <f t="shared" si="1"/>
        <v>91</v>
      </c>
      <c r="J44" s="4">
        <v>2745287</v>
      </c>
      <c r="K44" s="4">
        <v>8957341</v>
      </c>
      <c r="L44" s="1" t="s">
        <v>42</v>
      </c>
      <c r="M44" s="1" t="s">
        <v>135</v>
      </c>
    </row>
    <row r="45" spans="1:13" x14ac:dyDescent="0.3">
      <c r="A45" s="1" t="s">
        <v>101</v>
      </c>
      <c r="B45" s="1" t="s">
        <v>142</v>
      </c>
      <c r="C45" s="1" t="s">
        <v>31</v>
      </c>
      <c r="D45" s="1" t="s">
        <v>29</v>
      </c>
      <c r="E45" s="1" t="s">
        <v>37</v>
      </c>
      <c r="F45" s="1" t="s">
        <v>28</v>
      </c>
      <c r="G45" s="2">
        <v>45261</v>
      </c>
      <c r="H45" s="2">
        <v>45352</v>
      </c>
      <c r="I45" s="3">
        <f t="shared" si="1"/>
        <v>91</v>
      </c>
      <c r="J45" s="4">
        <v>2429395</v>
      </c>
      <c r="K45" s="4">
        <v>8913514</v>
      </c>
      <c r="L45" s="1" t="s">
        <v>17</v>
      </c>
      <c r="M45" s="1" t="s">
        <v>134</v>
      </c>
    </row>
    <row r="46" spans="1:13" x14ac:dyDescent="0.3">
      <c r="A46" s="1" t="s">
        <v>113</v>
      </c>
      <c r="B46" s="1" t="s">
        <v>140</v>
      </c>
      <c r="C46" s="1" t="s">
        <v>39</v>
      </c>
      <c r="D46" s="1" t="s">
        <v>29</v>
      </c>
      <c r="E46" s="1" t="s">
        <v>16</v>
      </c>
      <c r="F46" s="1" t="s">
        <v>14</v>
      </c>
      <c r="G46" s="2">
        <v>45597</v>
      </c>
      <c r="H46" s="2">
        <v>45717</v>
      </c>
      <c r="I46" s="3">
        <f t="shared" si="1"/>
        <v>120</v>
      </c>
      <c r="J46" s="4">
        <v>5732006</v>
      </c>
      <c r="K46" s="4">
        <v>9081480</v>
      </c>
      <c r="L46" s="1" t="s">
        <v>26</v>
      </c>
      <c r="M46" s="1" t="s">
        <v>135</v>
      </c>
    </row>
    <row r="47" spans="1:13" x14ac:dyDescent="0.3">
      <c r="A47" s="1" t="s">
        <v>65</v>
      </c>
      <c r="B47" s="1" t="s">
        <v>141</v>
      </c>
      <c r="C47" s="1" t="s">
        <v>39</v>
      </c>
      <c r="D47" s="1" t="s">
        <v>29</v>
      </c>
      <c r="E47" s="1" t="s">
        <v>33</v>
      </c>
      <c r="F47" s="1" t="s">
        <v>14</v>
      </c>
      <c r="G47" s="2">
        <v>44652</v>
      </c>
      <c r="H47" s="2">
        <v>44743</v>
      </c>
      <c r="I47" s="3">
        <f t="shared" si="1"/>
        <v>91</v>
      </c>
      <c r="J47" s="4">
        <v>3730999</v>
      </c>
      <c r="K47" s="4">
        <v>8715081</v>
      </c>
      <c r="L47" s="1" t="s">
        <v>17</v>
      </c>
      <c r="M47" s="1" t="s">
        <v>134</v>
      </c>
    </row>
    <row r="48" spans="1:13" x14ac:dyDescent="0.3">
      <c r="A48" s="1" t="s">
        <v>112</v>
      </c>
      <c r="B48" s="1" t="s">
        <v>141</v>
      </c>
      <c r="C48" s="1" t="s">
        <v>39</v>
      </c>
      <c r="D48" s="1" t="s">
        <v>29</v>
      </c>
      <c r="E48" s="1" t="s">
        <v>33</v>
      </c>
      <c r="F48" s="1" t="s">
        <v>14</v>
      </c>
      <c r="G48" s="2">
        <v>45597</v>
      </c>
      <c r="H48" s="2">
        <v>45717</v>
      </c>
      <c r="I48" s="3">
        <f t="shared" si="1"/>
        <v>120</v>
      </c>
      <c r="J48" s="4">
        <v>3526630</v>
      </c>
      <c r="K48" s="4">
        <v>9146561</v>
      </c>
      <c r="L48" s="1" t="s">
        <v>26</v>
      </c>
      <c r="M48" s="1" t="s">
        <v>135</v>
      </c>
    </row>
    <row r="49" spans="1:13" x14ac:dyDescent="0.3">
      <c r="A49" s="1" t="s">
        <v>32</v>
      </c>
      <c r="B49" s="1" t="s">
        <v>140</v>
      </c>
      <c r="C49" s="1" t="s">
        <v>24</v>
      </c>
      <c r="D49" s="1" t="s">
        <v>29</v>
      </c>
      <c r="E49" s="1" t="s">
        <v>33</v>
      </c>
      <c r="F49" s="1" t="s">
        <v>20</v>
      </c>
      <c r="G49" s="2">
        <v>44256</v>
      </c>
      <c r="H49" s="2">
        <v>44348</v>
      </c>
      <c r="I49" s="3">
        <f t="shared" si="1"/>
        <v>92</v>
      </c>
      <c r="J49" s="4">
        <v>3326031</v>
      </c>
      <c r="K49" s="4">
        <v>8504224</v>
      </c>
      <c r="L49" s="1" t="s">
        <v>17</v>
      </c>
      <c r="M49" s="1" t="s">
        <v>135</v>
      </c>
    </row>
    <row r="50" spans="1:13" x14ac:dyDescent="0.3">
      <c r="A50" s="1" t="s">
        <v>122</v>
      </c>
      <c r="B50" s="1" t="s">
        <v>140</v>
      </c>
      <c r="C50" s="1" t="s">
        <v>24</v>
      </c>
      <c r="D50" s="1" t="s">
        <v>29</v>
      </c>
      <c r="E50" s="1" t="s">
        <v>37</v>
      </c>
      <c r="F50" s="1" t="s">
        <v>14</v>
      </c>
      <c r="G50" s="2">
        <v>45778</v>
      </c>
      <c r="H50" s="2">
        <v>45870</v>
      </c>
      <c r="I50" s="3">
        <f t="shared" si="1"/>
        <v>92</v>
      </c>
      <c r="J50" s="4">
        <v>3685580</v>
      </c>
      <c r="K50" s="4">
        <v>8890269</v>
      </c>
      <c r="L50" s="1" t="s">
        <v>42</v>
      </c>
      <c r="M50" s="1" t="s">
        <v>136</v>
      </c>
    </row>
    <row r="51" spans="1:13" x14ac:dyDescent="0.3">
      <c r="A51" s="1" t="s">
        <v>67</v>
      </c>
      <c r="B51" s="1" t="s">
        <v>141</v>
      </c>
      <c r="C51" s="1" t="s">
        <v>24</v>
      </c>
      <c r="D51" s="1" t="s">
        <v>29</v>
      </c>
      <c r="E51" s="1" t="s">
        <v>33</v>
      </c>
      <c r="F51" s="1" t="s">
        <v>28</v>
      </c>
      <c r="G51" s="2">
        <v>44713</v>
      </c>
      <c r="H51" s="2">
        <v>44805</v>
      </c>
      <c r="I51" s="3">
        <f t="shared" si="1"/>
        <v>92</v>
      </c>
      <c r="J51" s="4">
        <v>2450782</v>
      </c>
      <c r="K51" s="4">
        <v>8470209</v>
      </c>
      <c r="L51" s="1" t="s">
        <v>42</v>
      </c>
      <c r="M51" s="1" t="s">
        <v>137</v>
      </c>
    </row>
    <row r="52" spans="1:13" x14ac:dyDescent="0.3">
      <c r="A52" s="1" t="s">
        <v>133</v>
      </c>
      <c r="B52" s="1" t="s">
        <v>141</v>
      </c>
      <c r="C52" s="1" t="s">
        <v>24</v>
      </c>
      <c r="D52" s="1" t="s">
        <v>29</v>
      </c>
      <c r="E52" s="1" t="s">
        <v>16</v>
      </c>
      <c r="F52" s="1" t="s">
        <v>20</v>
      </c>
      <c r="G52" s="2">
        <v>45992</v>
      </c>
      <c r="H52" s="2">
        <v>46082</v>
      </c>
      <c r="I52" s="3">
        <f t="shared" si="1"/>
        <v>90</v>
      </c>
      <c r="J52" s="4">
        <v>5054482</v>
      </c>
      <c r="K52" s="4">
        <v>8422578</v>
      </c>
      <c r="L52" s="1" t="s">
        <v>17</v>
      </c>
      <c r="M52" s="1" t="s">
        <v>135</v>
      </c>
    </row>
    <row r="53" spans="1:13" x14ac:dyDescent="0.3">
      <c r="A53" s="1" t="s">
        <v>126</v>
      </c>
      <c r="B53" s="1" t="s">
        <v>141</v>
      </c>
      <c r="C53" s="1" t="s">
        <v>13</v>
      </c>
      <c r="D53" s="1" t="s">
        <v>29</v>
      </c>
      <c r="E53" s="1" t="s">
        <v>16</v>
      </c>
      <c r="F53" s="1" t="s">
        <v>28</v>
      </c>
      <c r="G53" s="2">
        <v>45839</v>
      </c>
      <c r="H53" s="2">
        <v>45931</v>
      </c>
      <c r="I53" s="3">
        <f t="shared" si="1"/>
        <v>92</v>
      </c>
      <c r="J53" s="4">
        <v>5880610</v>
      </c>
      <c r="K53" s="4">
        <v>8626940</v>
      </c>
      <c r="L53" s="1" t="s">
        <v>26</v>
      </c>
      <c r="M53" s="1" t="s">
        <v>137</v>
      </c>
    </row>
    <row r="54" spans="1:13" x14ac:dyDescent="0.3">
      <c r="A54" s="1" t="s">
        <v>89</v>
      </c>
      <c r="B54" s="1" t="s">
        <v>142</v>
      </c>
      <c r="C54" s="1" t="s">
        <v>45</v>
      </c>
      <c r="D54" s="1" t="s">
        <v>41</v>
      </c>
      <c r="E54" s="1" t="s">
        <v>37</v>
      </c>
      <c r="F54" s="1" t="s">
        <v>28</v>
      </c>
      <c r="G54" s="2">
        <v>45108</v>
      </c>
      <c r="H54" s="2">
        <v>45200</v>
      </c>
      <c r="I54" s="3">
        <f t="shared" si="1"/>
        <v>92</v>
      </c>
      <c r="J54" s="4">
        <v>3107456</v>
      </c>
      <c r="K54" s="4">
        <v>9040473</v>
      </c>
      <c r="L54" s="1" t="s">
        <v>22</v>
      </c>
      <c r="M54" s="1" t="s">
        <v>135</v>
      </c>
    </row>
    <row r="55" spans="1:13" x14ac:dyDescent="0.3">
      <c r="A55" s="1" t="s">
        <v>73</v>
      </c>
      <c r="B55" s="1" t="s">
        <v>139</v>
      </c>
      <c r="C55" s="1" t="s">
        <v>45</v>
      </c>
      <c r="D55" s="1" t="s">
        <v>41</v>
      </c>
      <c r="E55" s="1" t="s">
        <v>37</v>
      </c>
      <c r="F55" s="1" t="s">
        <v>28</v>
      </c>
      <c r="G55" s="2">
        <v>44774</v>
      </c>
      <c r="H55" s="2">
        <v>44866</v>
      </c>
      <c r="I55" s="3">
        <f t="shared" si="1"/>
        <v>92</v>
      </c>
      <c r="J55" s="4">
        <v>4249668</v>
      </c>
      <c r="K55" s="4">
        <v>8548973</v>
      </c>
      <c r="L55" s="1" t="s">
        <v>17</v>
      </c>
      <c r="M55" s="1" t="s">
        <v>134</v>
      </c>
    </row>
    <row r="56" spans="1:13" x14ac:dyDescent="0.3">
      <c r="A56" s="1" t="s">
        <v>74</v>
      </c>
      <c r="B56" s="1" t="s">
        <v>140</v>
      </c>
      <c r="C56" s="1" t="s">
        <v>45</v>
      </c>
      <c r="D56" s="1" t="s">
        <v>41</v>
      </c>
      <c r="E56" s="1" t="s">
        <v>33</v>
      </c>
      <c r="F56" s="1" t="s">
        <v>14</v>
      </c>
      <c r="G56" s="2">
        <v>44774</v>
      </c>
      <c r="H56" s="2">
        <v>44866</v>
      </c>
      <c r="I56" s="3">
        <f t="shared" si="1"/>
        <v>92</v>
      </c>
      <c r="J56" s="4">
        <v>3156318</v>
      </c>
      <c r="K56" s="4">
        <v>9111026</v>
      </c>
      <c r="L56" s="1" t="s">
        <v>26</v>
      </c>
      <c r="M56" s="1" t="s">
        <v>135</v>
      </c>
    </row>
    <row r="57" spans="1:13" x14ac:dyDescent="0.3">
      <c r="A57" s="1" t="s">
        <v>96</v>
      </c>
      <c r="B57" s="1" t="s">
        <v>140</v>
      </c>
      <c r="C57" s="1" t="s">
        <v>45</v>
      </c>
      <c r="D57" s="1" t="s">
        <v>41</v>
      </c>
      <c r="E57" s="1" t="s">
        <v>37</v>
      </c>
      <c r="F57" s="1" t="s">
        <v>14</v>
      </c>
      <c r="G57" s="2">
        <v>45170</v>
      </c>
      <c r="H57" s="2">
        <v>45261</v>
      </c>
      <c r="I57" s="3">
        <f t="shared" si="1"/>
        <v>91</v>
      </c>
      <c r="J57" s="4">
        <v>2806512</v>
      </c>
      <c r="K57" s="4">
        <v>9016356</v>
      </c>
      <c r="L57" s="1" t="s">
        <v>17</v>
      </c>
      <c r="M57" s="1" t="s">
        <v>135</v>
      </c>
    </row>
    <row r="58" spans="1:13" x14ac:dyDescent="0.3">
      <c r="A58" s="1" t="s">
        <v>116</v>
      </c>
      <c r="B58" s="1" t="s">
        <v>140</v>
      </c>
      <c r="C58" s="1" t="s">
        <v>45</v>
      </c>
      <c r="D58" s="1" t="s">
        <v>41</v>
      </c>
      <c r="E58" s="1" t="s">
        <v>16</v>
      </c>
      <c r="F58" s="1" t="s">
        <v>20</v>
      </c>
      <c r="G58" s="2">
        <v>45627</v>
      </c>
      <c r="H58" s="2">
        <v>45717</v>
      </c>
      <c r="I58" s="3">
        <f t="shared" si="1"/>
        <v>90</v>
      </c>
      <c r="J58" s="4">
        <v>4434679</v>
      </c>
      <c r="K58" s="4">
        <v>9097786</v>
      </c>
      <c r="L58" s="1" t="s">
        <v>42</v>
      </c>
      <c r="M58" s="1" t="s">
        <v>137</v>
      </c>
    </row>
    <row r="59" spans="1:13" x14ac:dyDescent="0.3">
      <c r="A59" s="1" t="s">
        <v>111</v>
      </c>
      <c r="B59" s="1" t="s">
        <v>141</v>
      </c>
      <c r="C59" s="1" t="s">
        <v>45</v>
      </c>
      <c r="D59" s="1" t="s">
        <v>41</v>
      </c>
      <c r="E59" s="1" t="s">
        <v>37</v>
      </c>
      <c r="F59" s="1" t="s">
        <v>40</v>
      </c>
      <c r="G59" s="2">
        <v>45566</v>
      </c>
      <c r="H59" s="2">
        <v>45658</v>
      </c>
      <c r="I59" s="3">
        <f t="shared" si="1"/>
        <v>92</v>
      </c>
      <c r="J59" s="4">
        <v>5461756</v>
      </c>
      <c r="K59" s="4">
        <v>8804458</v>
      </c>
      <c r="L59" s="1" t="s">
        <v>22</v>
      </c>
      <c r="M59" s="1" t="s">
        <v>135</v>
      </c>
    </row>
    <row r="60" spans="1:13" x14ac:dyDescent="0.3">
      <c r="A60" s="1" t="s">
        <v>47</v>
      </c>
      <c r="B60" s="1" t="s">
        <v>142</v>
      </c>
      <c r="C60" s="1" t="s">
        <v>19</v>
      </c>
      <c r="D60" s="1" t="s">
        <v>41</v>
      </c>
      <c r="E60" s="1" t="s">
        <v>33</v>
      </c>
      <c r="F60" s="1" t="s">
        <v>40</v>
      </c>
      <c r="G60" s="2">
        <v>44348</v>
      </c>
      <c r="H60" s="2">
        <v>44440</v>
      </c>
      <c r="I60" s="3">
        <f t="shared" si="1"/>
        <v>92</v>
      </c>
      <c r="J60" s="4">
        <v>5953512</v>
      </c>
      <c r="K60" s="4">
        <v>8586905</v>
      </c>
      <c r="L60" s="1" t="s">
        <v>22</v>
      </c>
      <c r="M60" s="1" t="s">
        <v>135</v>
      </c>
    </row>
    <row r="61" spans="1:13" x14ac:dyDescent="0.3">
      <c r="A61" s="1" t="s">
        <v>120</v>
      </c>
      <c r="B61" s="1" t="s">
        <v>142</v>
      </c>
      <c r="C61" s="1" t="s">
        <v>19</v>
      </c>
      <c r="D61" s="1" t="s">
        <v>41</v>
      </c>
      <c r="E61" s="1" t="s">
        <v>37</v>
      </c>
      <c r="F61" s="1" t="s">
        <v>20</v>
      </c>
      <c r="G61" s="2">
        <v>45748</v>
      </c>
      <c r="H61" s="2">
        <v>45839</v>
      </c>
      <c r="I61" s="3">
        <f t="shared" si="1"/>
        <v>91</v>
      </c>
      <c r="J61" s="4">
        <v>5150366</v>
      </c>
      <c r="K61" s="4">
        <v>8877742</v>
      </c>
      <c r="L61" s="1" t="s">
        <v>42</v>
      </c>
      <c r="M61" s="1" t="s">
        <v>135</v>
      </c>
    </row>
    <row r="62" spans="1:13" x14ac:dyDescent="0.3">
      <c r="A62" s="1" t="s">
        <v>87</v>
      </c>
      <c r="B62" s="1" t="s">
        <v>142</v>
      </c>
      <c r="C62" s="1" t="s">
        <v>49</v>
      </c>
      <c r="D62" s="1" t="s">
        <v>41</v>
      </c>
      <c r="E62" s="1" t="s">
        <v>16</v>
      </c>
      <c r="F62" s="1" t="s">
        <v>20</v>
      </c>
      <c r="G62" s="2">
        <v>45047</v>
      </c>
      <c r="H62" s="2">
        <v>45139</v>
      </c>
      <c r="I62" s="3">
        <f t="shared" si="1"/>
        <v>92</v>
      </c>
      <c r="J62" s="4">
        <v>4505069</v>
      </c>
      <c r="K62" s="4">
        <v>8478594</v>
      </c>
      <c r="L62" s="1" t="s">
        <v>26</v>
      </c>
      <c r="M62" s="1" t="s">
        <v>134</v>
      </c>
    </row>
    <row r="63" spans="1:13" x14ac:dyDescent="0.3">
      <c r="A63" s="1" t="s">
        <v>121</v>
      </c>
      <c r="B63" s="1" t="s">
        <v>142</v>
      </c>
      <c r="C63" s="1" t="s">
        <v>49</v>
      </c>
      <c r="D63" s="1" t="s">
        <v>41</v>
      </c>
      <c r="E63" s="1" t="s">
        <v>16</v>
      </c>
      <c r="F63" s="1" t="s">
        <v>14</v>
      </c>
      <c r="G63" s="2">
        <v>45748</v>
      </c>
      <c r="H63" s="2">
        <v>45839</v>
      </c>
      <c r="I63" s="3">
        <f t="shared" si="1"/>
        <v>91</v>
      </c>
      <c r="J63" s="4">
        <v>5620822</v>
      </c>
      <c r="K63" s="4">
        <v>8757403</v>
      </c>
      <c r="L63" s="1" t="s">
        <v>26</v>
      </c>
      <c r="M63" s="1" t="s">
        <v>137</v>
      </c>
    </row>
    <row r="64" spans="1:13" x14ac:dyDescent="0.3">
      <c r="A64" s="1" t="s">
        <v>68</v>
      </c>
      <c r="B64" s="1" t="s">
        <v>140</v>
      </c>
      <c r="C64" s="1" t="s">
        <v>49</v>
      </c>
      <c r="D64" s="1" t="s">
        <v>41</v>
      </c>
      <c r="E64" s="1" t="s">
        <v>37</v>
      </c>
      <c r="F64" s="1" t="s">
        <v>14</v>
      </c>
      <c r="G64" s="2">
        <v>44713</v>
      </c>
      <c r="H64" s="2">
        <v>44805</v>
      </c>
      <c r="I64" s="3">
        <f t="shared" si="1"/>
        <v>92</v>
      </c>
      <c r="J64" s="4">
        <v>3718103</v>
      </c>
      <c r="K64" s="4">
        <v>9127150</v>
      </c>
      <c r="L64" s="1" t="s">
        <v>22</v>
      </c>
      <c r="M64" s="1" t="s">
        <v>134</v>
      </c>
    </row>
    <row r="65" spans="1:13" x14ac:dyDescent="0.3">
      <c r="A65" s="1" t="s">
        <v>127</v>
      </c>
      <c r="B65" s="1" t="s">
        <v>140</v>
      </c>
      <c r="C65" s="1" t="s">
        <v>49</v>
      </c>
      <c r="D65" s="1" t="s">
        <v>41</v>
      </c>
      <c r="E65" s="1" t="s">
        <v>16</v>
      </c>
      <c r="F65" s="1" t="s">
        <v>28</v>
      </c>
      <c r="G65" s="2">
        <v>45839</v>
      </c>
      <c r="H65" s="2">
        <v>45931</v>
      </c>
      <c r="I65" s="3">
        <f t="shared" si="1"/>
        <v>92</v>
      </c>
      <c r="J65" s="4">
        <v>3932724</v>
      </c>
      <c r="K65" s="4">
        <v>9006043</v>
      </c>
      <c r="L65" s="1" t="s">
        <v>17</v>
      </c>
      <c r="M65" s="1" t="s">
        <v>137</v>
      </c>
    </row>
    <row r="66" spans="1:13" x14ac:dyDescent="0.3">
      <c r="A66" s="1" t="s">
        <v>58</v>
      </c>
      <c r="B66" s="1" t="s">
        <v>141</v>
      </c>
      <c r="C66" s="1" t="s">
        <v>49</v>
      </c>
      <c r="D66" s="1" t="s">
        <v>41</v>
      </c>
      <c r="E66" s="1" t="s">
        <v>37</v>
      </c>
      <c r="F66" s="1" t="s">
        <v>28</v>
      </c>
      <c r="G66" s="2">
        <v>44562</v>
      </c>
      <c r="H66" s="2">
        <v>44682</v>
      </c>
      <c r="I66" s="3">
        <f t="shared" ref="I66:I97" si="2">H66-G66</f>
        <v>120</v>
      </c>
      <c r="J66" s="4">
        <v>5974815</v>
      </c>
      <c r="K66" s="4">
        <v>8973631</v>
      </c>
      <c r="L66" s="1" t="s">
        <v>22</v>
      </c>
      <c r="M66" s="1" t="s">
        <v>137</v>
      </c>
    </row>
    <row r="67" spans="1:13" x14ac:dyDescent="0.3">
      <c r="A67" s="1" t="s">
        <v>118</v>
      </c>
      <c r="B67" s="1" t="s">
        <v>141</v>
      </c>
      <c r="C67" s="1" t="s">
        <v>49</v>
      </c>
      <c r="D67" s="1" t="s">
        <v>41</v>
      </c>
      <c r="E67" s="1" t="s">
        <v>16</v>
      </c>
      <c r="F67" s="1" t="s">
        <v>20</v>
      </c>
      <c r="G67" s="2">
        <v>45658</v>
      </c>
      <c r="H67" s="2">
        <v>45778</v>
      </c>
      <c r="I67" s="3">
        <f t="shared" si="2"/>
        <v>120</v>
      </c>
      <c r="J67" s="4">
        <v>2906572</v>
      </c>
      <c r="K67" s="4">
        <v>8599058</v>
      </c>
      <c r="L67" s="1" t="s">
        <v>26</v>
      </c>
      <c r="M67" s="1" t="s">
        <v>137</v>
      </c>
    </row>
    <row r="68" spans="1:13" x14ac:dyDescent="0.3">
      <c r="A68" s="1" t="s">
        <v>81</v>
      </c>
      <c r="B68" s="1" t="s">
        <v>141</v>
      </c>
      <c r="C68" s="1" t="s">
        <v>31</v>
      </c>
      <c r="D68" s="1" t="s">
        <v>41</v>
      </c>
      <c r="E68" s="1" t="s">
        <v>16</v>
      </c>
      <c r="F68" s="1" t="s">
        <v>40</v>
      </c>
      <c r="G68" s="2">
        <v>44866</v>
      </c>
      <c r="H68" s="2">
        <v>44986</v>
      </c>
      <c r="I68" s="3">
        <f t="shared" si="2"/>
        <v>120</v>
      </c>
      <c r="J68" s="4">
        <v>4802423</v>
      </c>
      <c r="K68" s="4">
        <v>8780231</v>
      </c>
      <c r="L68" s="1" t="s">
        <v>17</v>
      </c>
      <c r="M68" s="1" t="s">
        <v>137</v>
      </c>
    </row>
    <row r="69" spans="1:13" x14ac:dyDescent="0.3">
      <c r="A69" s="1" t="s">
        <v>78</v>
      </c>
      <c r="B69" s="1" t="s">
        <v>142</v>
      </c>
      <c r="C69" s="1" t="s">
        <v>39</v>
      </c>
      <c r="D69" s="1" t="s">
        <v>41</v>
      </c>
      <c r="E69" s="1" t="s">
        <v>16</v>
      </c>
      <c r="F69" s="1" t="s">
        <v>20</v>
      </c>
      <c r="G69" s="2">
        <v>44835</v>
      </c>
      <c r="H69" s="2">
        <v>44927</v>
      </c>
      <c r="I69" s="3">
        <f t="shared" si="2"/>
        <v>92</v>
      </c>
      <c r="J69" s="4">
        <v>4497364</v>
      </c>
      <c r="K69" s="4">
        <v>9022111</v>
      </c>
      <c r="L69" s="1" t="s">
        <v>26</v>
      </c>
      <c r="M69" s="1" t="s">
        <v>135</v>
      </c>
    </row>
    <row r="70" spans="1:13" x14ac:dyDescent="0.3">
      <c r="A70" s="1" t="s">
        <v>38</v>
      </c>
      <c r="B70" s="1" t="s">
        <v>141</v>
      </c>
      <c r="C70" s="1" t="s">
        <v>39</v>
      </c>
      <c r="D70" s="1" t="s">
        <v>41</v>
      </c>
      <c r="E70" s="1" t="s">
        <v>37</v>
      </c>
      <c r="F70" s="1" t="s">
        <v>40</v>
      </c>
      <c r="G70" s="2">
        <v>44317</v>
      </c>
      <c r="H70" s="2">
        <v>44409</v>
      </c>
      <c r="I70" s="3">
        <f t="shared" si="2"/>
        <v>92</v>
      </c>
      <c r="J70" s="4">
        <v>3475275</v>
      </c>
      <c r="K70" s="4">
        <v>8994585</v>
      </c>
      <c r="L70" s="1" t="s">
        <v>42</v>
      </c>
      <c r="M70" s="1" t="s">
        <v>136</v>
      </c>
    </row>
    <row r="71" spans="1:13" x14ac:dyDescent="0.3">
      <c r="A71" s="1" t="s">
        <v>80</v>
      </c>
      <c r="B71" s="1" t="s">
        <v>141</v>
      </c>
      <c r="C71" s="1" t="s">
        <v>39</v>
      </c>
      <c r="D71" s="1" t="s">
        <v>41</v>
      </c>
      <c r="E71" s="1" t="s">
        <v>37</v>
      </c>
      <c r="F71" s="1" t="s">
        <v>28</v>
      </c>
      <c r="G71" s="2">
        <v>44866</v>
      </c>
      <c r="H71" s="2">
        <v>44986</v>
      </c>
      <c r="I71" s="3">
        <f t="shared" si="2"/>
        <v>120</v>
      </c>
      <c r="J71" s="4">
        <v>3472531</v>
      </c>
      <c r="K71" s="4">
        <v>9084736</v>
      </c>
      <c r="L71" s="1" t="s">
        <v>22</v>
      </c>
      <c r="M71" s="1" t="s">
        <v>135</v>
      </c>
    </row>
    <row r="72" spans="1:13" x14ac:dyDescent="0.3">
      <c r="A72" s="1" t="s">
        <v>85</v>
      </c>
      <c r="B72" s="1" t="s">
        <v>142</v>
      </c>
      <c r="C72" s="1" t="s">
        <v>24</v>
      </c>
      <c r="D72" s="1" t="s">
        <v>41</v>
      </c>
      <c r="E72" s="1" t="s">
        <v>33</v>
      </c>
      <c r="F72" s="1" t="s">
        <v>14</v>
      </c>
      <c r="G72" s="2">
        <v>44927</v>
      </c>
      <c r="H72" s="2">
        <v>45047</v>
      </c>
      <c r="I72" s="3">
        <f t="shared" si="2"/>
        <v>120</v>
      </c>
      <c r="J72" s="4">
        <v>5412530</v>
      </c>
      <c r="K72" s="4">
        <v>8527421</v>
      </c>
      <c r="L72" s="1" t="s">
        <v>17</v>
      </c>
      <c r="M72" s="1" t="s">
        <v>135</v>
      </c>
    </row>
    <row r="73" spans="1:13" x14ac:dyDescent="0.3">
      <c r="A73" s="1" t="s">
        <v>91</v>
      </c>
      <c r="B73" s="1" t="s">
        <v>140</v>
      </c>
      <c r="C73" s="1" t="s">
        <v>24</v>
      </c>
      <c r="D73" s="1" t="s">
        <v>41</v>
      </c>
      <c r="E73" s="1" t="s">
        <v>16</v>
      </c>
      <c r="F73" s="1" t="s">
        <v>14</v>
      </c>
      <c r="G73" s="2">
        <v>45139</v>
      </c>
      <c r="H73" s="2">
        <v>45231</v>
      </c>
      <c r="I73" s="3">
        <f t="shared" si="2"/>
        <v>92</v>
      </c>
      <c r="J73" s="4">
        <v>4612925</v>
      </c>
      <c r="K73" s="4">
        <v>8910680</v>
      </c>
      <c r="L73" s="1" t="s">
        <v>22</v>
      </c>
      <c r="M73" s="1" t="s">
        <v>136</v>
      </c>
    </row>
    <row r="74" spans="1:13" x14ac:dyDescent="0.3">
      <c r="A74" s="1" t="s">
        <v>106</v>
      </c>
      <c r="B74" s="1" t="s">
        <v>141</v>
      </c>
      <c r="C74" s="1" t="s">
        <v>24</v>
      </c>
      <c r="D74" s="1" t="s">
        <v>41</v>
      </c>
      <c r="E74" s="1" t="s">
        <v>33</v>
      </c>
      <c r="F74" s="1" t="s">
        <v>14</v>
      </c>
      <c r="G74" s="2">
        <v>45505</v>
      </c>
      <c r="H74" s="2">
        <v>45597</v>
      </c>
      <c r="I74" s="3">
        <f t="shared" si="2"/>
        <v>92</v>
      </c>
      <c r="J74" s="4">
        <v>5418933</v>
      </c>
      <c r="K74" s="4">
        <v>8846243</v>
      </c>
      <c r="L74" s="1" t="s">
        <v>42</v>
      </c>
      <c r="M74" s="1" t="s">
        <v>136</v>
      </c>
    </row>
    <row r="75" spans="1:13" x14ac:dyDescent="0.3">
      <c r="A75" s="1" t="s">
        <v>129</v>
      </c>
      <c r="B75" s="1" t="s">
        <v>141</v>
      </c>
      <c r="C75" s="1" t="s">
        <v>24</v>
      </c>
      <c r="D75" s="1" t="s">
        <v>41</v>
      </c>
      <c r="E75" s="1" t="s">
        <v>33</v>
      </c>
      <c r="F75" s="1" t="s">
        <v>40</v>
      </c>
      <c r="G75" s="2">
        <v>45870</v>
      </c>
      <c r="H75" s="2">
        <v>45962</v>
      </c>
      <c r="I75" s="3">
        <f t="shared" si="2"/>
        <v>92</v>
      </c>
      <c r="J75" s="4">
        <v>5259436</v>
      </c>
      <c r="K75" s="4">
        <v>8817917</v>
      </c>
      <c r="L75" s="1" t="s">
        <v>42</v>
      </c>
      <c r="M75" s="1" t="s">
        <v>135</v>
      </c>
    </row>
    <row r="76" spans="1:13" x14ac:dyDescent="0.3">
      <c r="A76" s="1" t="s">
        <v>131</v>
      </c>
      <c r="B76" s="1" t="s">
        <v>140</v>
      </c>
      <c r="C76" s="1" t="s">
        <v>13</v>
      </c>
      <c r="D76" s="1" t="s">
        <v>41</v>
      </c>
      <c r="E76" s="1" t="s">
        <v>37</v>
      </c>
      <c r="F76" s="1" t="s">
        <v>20</v>
      </c>
      <c r="G76" s="2">
        <v>45962</v>
      </c>
      <c r="H76" s="2">
        <v>46082</v>
      </c>
      <c r="I76" s="3">
        <f t="shared" si="2"/>
        <v>120</v>
      </c>
      <c r="J76" s="4">
        <v>4283481</v>
      </c>
      <c r="K76" s="4">
        <v>8895152</v>
      </c>
      <c r="L76" s="1" t="s">
        <v>26</v>
      </c>
      <c r="M76" s="1" t="s">
        <v>135</v>
      </c>
    </row>
    <row r="77" spans="1:13" x14ac:dyDescent="0.3">
      <c r="A77" s="1" t="s">
        <v>105</v>
      </c>
      <c r="B77" s="1" t="s">
        <v>141</v>
      </c>
      <c r="C77" s="1" t="s">
        <v>13</v>
      </c>
      <c r="D77" s="1" t="s">
        <v>41</v>
      </c>
      <c r="E77" s="1" t="s">
        <v>16</v>
      </c>
      <c r="F77" s="1" t="s">
        <v>14</v>
      </c>
      <c r="G77" s="2">
        <v>45474</v>
      </c>
      <c r="H77" s="2">
        <v>45566</v>
      </c>
      <c r="I77" s="3">
        <f t="shared" si="2"/>
        <v>92</v>
      </c>
      <c r="J77" s="4">
        <v>4426475</v>
      </c>
      <c r="K77" s="4">
        <v>8515880</v>
      </c>
      <c r="L77" s="1" t="s">
        <v>22</v>
      </c>
      <c r="M77" s="1" t="s">
        <v>135</v>
      </c>
    </row>
    <row r="78" spans="1:13" x14ac:dyDescent="0.3">
      <c r="A78" s="1" t="s">
        <v>125</v>
      </c>
      <c r="B78" s="1" t="s">
        <v>142</v>
      </c>
      <c r="C78" s="1" t="s">
        <v>45</v>
      </c>
      <c r="D78" s="1" t="s">
        <v>25</v>
      </c>
      <c r="E78" s="1" t="s">
        <v>37</v>
      </c>
      <c r="F78" s="1" t="s">
        <v>20</v>
      </c>
      <c r="G78" s="2">
        <v>45809</v>
      </c>
      <c r="H78" s="2">
        <v>45901</v>
      </c>
      <c r="I78" s="3">
        <f t="shared" si="2"/>
        <v>92</v>
      </c>
      <c r="J78" s="4">
        <v>2693471</v>
      </c>
      <c r="K78" s="4">
        <v>9103716</v>
      </c>
      <c r="L78" s="1" t="s">
        <v>26</v>
      </c>
      <c r="M78" s="1" t="s">
        <v>135</v>
      </c>
    </row>
    <row r="79" spans="1:13" x14ac:dyDescent="0.3">
      <c r="A79" s="1" t="s">
        <v>61</v>
      </c>
      <c r="B79" s="1" t="s">
        <v>139</v>
      </c>
      <c r="C79" s="1" t="s">
        <v>45</v>
      </c>
      <c r="D79" s="1" t="s">
        <v>25</v>
      </c>
      <c r="E79" s="1" t="s">
        <v>16</v>
      </c>
      <c r="F79" s="1" t="s">
        <v>14</v>
      </c>
      <c r="G79" s="2">
        <v>44621</v>
      </c>
      <c r="H79" s="2">
        <v>44713</v>
      </c>
      <c r="I79" s="3">
        <f t="shared" si="2"/>
        <v>92</v>
      </c>
      <c r="J79" s="4">
        <v>3201907</v>
      </c>
      <c r="K79" s="4">
        <v>8800186</v>
      </c>
      <c r="L79" s="1" t="s">
        <v>22</v>
      </c>
      <c r="M79" s="1" t="s">
        <v>136</v>
      </c>
    </row>
    <row r="80" spans="1:13" x14ac:dyDescent="0.3">
      <c r="A80" s="1" t="s">
        <v>79</v>
      </c>
      <c r="B80" s="1" t="s">
        <v>139</v>
      </c>
      <c r="C80" s="1" t="s">
        <v>45</v>
      </c>
      <c r="D80" s="1" t="s">
        <v>25</v>
      </c>
      <c r="E80" s="1" t="s">
        <v>37</v>
      </c>
      <c r="F80" s="1" t="s">
        <v>40</v>
      </c>
      <c r="G80" s="2">
        <v>44835</v>
      </c>
      <c r="H80" s="2">
        <v>44927</v>
      </c>
      <c r="I80" s="3">
        <f t="shared" si="2"/>
        <v>92</v>
      </c>
      <c r="J80" s="4">
        <v>5570834</v>
      </c>
      <c r="K80" s="4">
        <v>8429375</v>
      </c>
      <c r="L80" s="1" t="s">
        <v>17</v>
      </c>
      <c r="M80" s="1" t="s">
        <v>136</v>
      </c>
    </row>
    <row r="81" spans="1:13" x14ac:dyDescent="0.3">
      <c r="A81" s="1" t="s">
        <v>97</v>
      </c>
      <c r="B81" s="1" t="s">
        <v>141</v>
      </c>
      <c r="C81" s="1" t="s">
        <v>45</v>
      </c>
      <c r="D81" s="1" t="s">
        <v>25</v>
      </c>
      <c r="E81" s="1" t="s">
        <v>16</v>
      </c>
      <c r="F81" s="1" t="s">
        <v>14</v>
      </c>
      <c r="G81" s="2">
        <v>45231</v>
      </c>
      <c r="H81" s="2">
        <v>45323</v>
      </c>
      <c r="I81" s="3">
        <f t="shared" si="2"/>
        <v>92</v>
      </c>
      <c r="J81" s="4">
        <v>3261249</v>
      </c>
      <c r="K81" s="4">
        <v>8696481</v>
      </c>
      <c r="L81" s="1" t="s">
        <v>26</v>
      </c>
      <c r="M81" s="1" t="s">
        <v>135</v>
      </c>
    </row>
    <row r="82" spans="1:13" x14ac:dyDescent="0.3">
      <c r="A82" s="1" t="s">
        <v>34</v>
      </c>
      <c r="B82" s="1" t="s">
        <v>142</v>
      </c>
      <c r="C82" s="1" t="s">
        <v>19</v>
      </c>
      <c r="D82" s="1" t="s">
        <v>25</v>
      </c>
      <c r="E82" s="1" t="s">
        <v>16</v>
      </c>
      <c r="F82" s="1" t="s">
        <v>14</v>
      </c>
      <c r="G82" s="2">
        <v>44287</v>
      </c>
      <c r="H82" s="2">
        <v>44378</v>
      </c>
      <c r="I82" s="3">
        <f t="shared" si="2"/>
        <v>91</v>
      </c>
      <c r="J82" s="4">
        <v>4557606</v>
      </c>
      <c r="K82" s="4">
        <v>9014448</v>
      </c>
      <c r="L82" s="1" t="s">
        <v>26</v>
      </c>
      <c r="M82" s="1" t="s">
        <v>137</v>
      </c>
    </row>
    <row r="83" spans="1:13" x14ac:dyDescent="0.3">
      <c r="A83" s="1" t="s">
        <v>83</v>
      </c>
      <c r="B83" s="1" t="s">
        <v>141</v>
      </c>
      <c r="C83" s="1" t="s">
        <v>19</v>
      </c>
      <c r="D83" s="1" t="s">
        <v>25</v>
      </c>
      <c r="E83" s="1" t="s">
        <v>33</v>
      </c>
      <c r="F83" s="1" t="s">
        <v>28</v>
      </c>
      <c r="G83" s="2">
        <v>44896</v>
      </c>
      <c r="H83" s="2">
        <v>44986</v>
      </c>
      <c r="I83" s="3">
        <f t="shared" si="2"/>
        <v>90</v>
      </c>
      <c r="J83" s="4">
        <v>5896885</v>
      </c>
      <c r="K83" s="4">
        <v>8539690</v>
      </c>
      <c r="L83" s="1" t="s">
        <v>22</v>
      </c>
      <c r="M83" s="1" t="s">
        <v>135</v>
      </c>
    </row>
    <row r="84" spans="1:13" x14ac:dyDescent="0.3">
      <c r="A84" s="1" t="s">
        <v>86</v>
      </c>
      <c r="B84" s="1" t="s">
        <v>141</v>
      </c>
      <c r="C84" s="1" t="s">
        <v>19</v>
      </c>
      <c r="D84" s="1" t="s">
        <v>25</v>
      </c>
      <c r="E84" s="1" t="s">
        <v>33</v>
      </c>
      <c r="F84" s="1" t="s">
        <v>14</v>
      </c>
      <c r="G84" s="2">
        <v>44958</v>
      </c>
      <c r="H84" s="2">
        <v>45078</v>
      </c>
      <c r="I84" s="3">
        <f t="shared" si="2"/>
        <v>120</v>
      </c>
      <c r="J84" s="4">
        <v>5543765</v>
      </c>
      <c r="K84" s="4">
        <v>8769988</v>
      </c>
      <c r="L84" s="1" t="s">
        <v>42</v>
      </c>
      <c r="M84" s="1" t="s">
        <v>135</v>
      </c>
    </row>
    <row r="85" spans="1:13" x14ac:dyDescent="0.3">
      <c r="A85" s="1" t="s">
        <v>109</v>
      </c>
      <c r="B85" s="1" t="s">
        <v>139</v>
      </c>
      <c r="C85" s="1" t="s">
        <v>31</v>
      </c>
      <c r="D85" s="1" t="s">
        <v>25</v>
      </c>
      <c r="E85" s="1" t="s">
        <v>33</v>
      </c>
      <c r="F85" s="1" t="s">
        <v>14</v>
      </c>
      <c r="G85" s="2">
        <v>45566</v>
      </c>
      <c r="H85" s="2">
        <v>45658</v>
      </c>
      <c r="I85" s="3">
        <f t="shared" si="2"/>
        <v>92</v>
      </c>
      <c r="J85" s="4">
        <v>4258440</v>
      </c>
      <c r="K85" s="4">
        <v>8577445</v>
      </c>
      <c r="L85" s="1" t="s">
        <v>17</v>
      </c>
      <c r="M85" s="1" t="s">
        <v>134</v>
      </c>
    </row>
    <row r="86" spans="1:13" x14ac:dyDescent="0.3">
      <c r="A86" s="1" t="s">
        <v>50</v>
      </c>
      <c r="B86" s="1" t="s">
        <v>141</v>
      </c>
      <c r="C86" s="1" t="s">
        <v>31</v>
      </c>
      <c r="D86" s="1" t="s">
        <v>25</v>
      </c>
      <c r="E86" s="1" t="s">
        <v>33</v>
      </c>
      <c r="F86" s="1" t="s">
        <v>40</v>
      </c>
      <c r="G86" s="2">
        <v>44378</v>
      </c>
      <c r="H86" s="2">
        <v>44470</v>
      </c>
      <c r="I86" s="3">
        <f t="shared" si="2"/>
        <v>92</v>
      </c>
      <c r="J86" s="4">
        <v>3472986</v>
      </c>
      <c r="K86" s="4">
        <v>9125362</v>
      </c>
      <c r="L86" s="1" t="s">
        <v>26</v>
      </c>
      <c r="M86" s="1" t="s">
        <v>136</v>
      </c>
    </row>
    <row r="87" spans="1:13" x14ac:dyDescent="0.3">
      <c r="A87" s="1" t="s">
        <v>124</v>
      </c>
      <c r="B87" s="1" t="s">
        <v>142</v>
      </c>
      <c r="C87" s="1" t="s">
        <v>39</v>
      </c>
      <c r="D87" s="1" t="s">
        <v>25</v>
      </c>
      <c r="E87" s="1" t="s">
        <v>16</v>
      </c>
      <c r="F87" s="1" t="s">
        <v>40</v>
      </c>
      <c r="G87" s="2">
        <v>45809</v>
      </c>
      <c r="H87" s="2">
        <v>45901</v>
      </c>
      <c r="I87" s="3">
        <f t="shared" si="2"/>
        <v>92</v>
      </c>
      <c r="J87" s="4">
        <v>4805056</v>
      </c>
      <c r="K87" s="4">
        <v>8895516</v>
      </c>
      <c r="L87" s="1" t="s">
        <v>22</v>
      </c>
      <c r="M87" s="1" t="s">
        <v>137</v>
      </c>
    </row>
    <row r="88" spans="1:13" x14ac:dyDescent="0.3">
      <c r="A88" s="1" t="s">
        <v>54</v>
      </c>
      <c r="B88" s="1" t="s">
        <v>139</v>
      </c>
      <c r="C88" s="1" t="s">
        <v>39</v>
      </c>
      <c r="D88" s="1" t="s">
        <v>25</v>
      </c>
      <c r="E88" s="1" t="s">
        <v>16</v>
      </c>
      <c r="F88" s="1" t="s">
        <v>28</v>
      </c>
      <c r="G88" s="2">
        <v>44470</v>
      </c>
      <c r="H88" s="2">
        <v>44562</v>
      </c>
      <c r="I88" s="3">
        <f t="shared" si="2"/>
        <v>92</v>
      </c>
      <c r="J88" s="4">
        <v>2900355</v>
      </c>
      <c r="K88" s="4">
        <v>8979944</v>
      </c>
      <c r="L88" s="1" t="s">
        <v>17</v>
      </c>
      <c r="M88" s="1" t="s">
        <v>134</v>
      </c>
    </row>
    <row r="89" spans="1:13" x14ac:dyDescent="0.3">
      <c r="A89" s="1" t="s">
        <v>115</v>
      </c>
      <c r="B89" s="1" t="s">
        <v>139</v>
      </c>
      <c r="C89" s="1" t="s">
        <v>39</v>
      </c>
      <c r="D89" s="1" t="s">
        <v>25</v>
      </c>
      <c r="E89" s="1" t="s">
        <v>33</v>
      </c>
      <c r="F89" s="1" t="s">
        <v>14</v>
      </c>
      <c r="G89" s="2">
        <v>45627</v>
      </c>
      <c r="H89" s="2">
        <v>45717</v>
      </c>
      <c r="I89" s="3">
        <f t="shared" si="2"/>
        <v>90</v>
      </c>
      <c r="J89" s="4">
        <v>3678091</v>
      </c>
      <c r="K89" s="4">
        <v>8985903</v>
      </c>
      <c r="L89" s="1" t="s">
        <v>42</v>
      </c>
      <c r="M89" s="1" t="s">
        <v>135</v>
      </c>
    </row>
    <row r="90" spans="1:13" x14ac:dyDescent="0.3">
      <c r="A90" s="1" t="s">
        <v>130</v>
      </c>
      <c r="B90" s="1" t="s">
        <v>139</v>
      </c>
      <c r="C90" s="1" t="s">
        <v>39</v>
      </c>
      <c r="D90" s="1" t="s">
        <v>25</v>
      </c>
      <c r="E90" s="1" t="s">
        <v>33</v>
      </c>
      <c r="F90" s="1" t="s">
        <v>14</v>
      </c>
      <c r="G90" s="2">
        <v>45901</v>
      </c>
      <c r="H90" s="2">
        <v>45992</v>
      </c>
      <c r="I90" s="3">
        <f t="shared" si="2"/>
        <v>91</v>
      </c>
      <c r="J90" s="4">
        <v>4790417</v>
      </c>
      <c r="K90" s="4">
        <v>8872443</v>
      </c>
      <c r="L90" s="1" t="s">
        <v>17</v>
      </c>
      <c r="M90" s="1" t="s">
        <v>136</v>
      </c>
    </row>
    <row r="91" spans="1:13" x14ac:dyDescent="0.3">
      <c r="A91" s="1" t="s">
        <v>88</v>
      </c>
      <c r="B91" s="1" t="s">
        <v>140</v>
      </c>
      <c r="C91" s="1" t="s">
        <v>39</v>
      </c>
      <c r="D91" s="1" t="s">
        <v>25</v>
      </c>
      <c r="E91" s="1" t="s">
        <v>37</v>
      </c>
      <c r="F91" s="1" t="s">
        <v>40</v>
      </c>
      <c r="G91" s="2">
        <v>45108</v>
      </c>
      <c r="H91" s="2">
        <v>45200</v>
      </c>
      <c r="I91" s="3">
        <f t="shared" si="2"/>
        <v>92</v>
      </c>
      <c r="J91" s="4">
        <v>4013283</v>
      </c>
      <c r="K91" s="4">
        <v>8830540</v>
      </c>
      <c r="L91" s="1" t="s">
        <v>42</v>
      </c>
      <c r="M91" s="1" t="s">
        <v>136</v>
      </c>
    </row>
    <row r="92" spans="1:13" x14ac:dyDescent="0.3">
      <c r="A92" s="1" t="s">
        <v>104</v>
      </c>
      <c r="B92" s="1" t="s">
        <v>142</v>
      </c>
      <c r="C92" s="1" t="s">
        <v>24</v>
      </c>
      <c r="D92" s="1" t="s">
        <v>25</v>
      </c>
      <c r="E92" s="1" t="s">
        <v>33</v>
      </c>
      <c r="F92" s="1" t="s">
        <v>14</v>
      </c>
      <c r="G92" s="2">
        <v>45383</v>
      </c>
      <c r="H92" s="2">
        <v>45474</v>
      </c>
      <c r="I92" s="3">
        <f t="shared" si="2"/>
        <v>91</v>
      </c>
      <c r="J92" s="4">
        <v>2706279</v>
      </c>
      <c r="K92" s="4">
        <v>8547124</v>
      </c>
      <c r="L92" s="1" t="s">
        <v>17</v>
      </c>
      <c r="M92" s="1" t="s">
        <v>136</v>
      </c>
    </row>
    <row r="93" spans="1:13" x14ac:dyDescent="0.3">
      <c r="A93" s="1" t="s">
        <v>23</v>
      </c>
      <c r="B93" s="1" t="s">
        <v>139</v>
      </c>
      <c r="C93" s="1" t="s">
        <v>24</v>
      </c>
      <c r="D93" s="1" t="s">
        <v>25</v>
      </c>
      <c r="E93" s="1" t="s">
        <v>16</v>
      </c>
      <c r="F93" s="1" t="s">
        <v>14</v>
      </c>
      <c r="G93" s="2">
        <v>44256</v>
      </c>
      <c r="H93" s="2">
        <v>44348</v>
      </c>
      <c r="I93" s="3">
        <f t="shared" si="2"/>
        <v>92</v>
      </c>
      <c r="J93" s="4">
        <v>4285483</v>
      </c>
      <c r="K93" s="4">
        <v>9078339</v>
      </c>
      <c r="L93" s="1" t="s">
        <v>26</v>
      </c>
      <c r="M93" s="1" t="s">
        <v>136</v>
      </c>
    </row>
    <row r="94" spans="1:13" x14ac:dyDescent="0.3">
      <c r="A94" s="1" t="s">
        <v>93</v>
      </c>
      <c r="B94" s="1" t="s">
        <v>139</v>
      </c>
      <c r="C94" s="1" t="s">
        <v>24</v>
      </c>
      <c r="D94" s="1" t="s">
        <v>25</v>
      </c>
      <c r="E94" s="1" t="s">
        <v>16</v>
      </c>
      <c r="F94" s="1" t="s">
        <v>28</v>
      </c>
      <c r="G94" s="2">
        <v>45170</v>
      </c>
      <c r="H94" s="2">
        <v>45261</v>
      </c>
      <c r="I94" s="3">
        <f t="shared" si="2"/>
        <v>91</v>
      </c>
      <c r="J94" s="4">
        <v>2511189</v>
      </c>
      <c r="K94" s="4">
        <v>8776602</v>
      </c>
      <c r="L94" s="1" t="s">
        <v>42</v>
      </c>
      <c r="M94" s="1" t="s">
        <v>137</v>
      </c>
    </row>
    <row r="95" spans="1:13" x14ac:dyDescent="0.3">
      <c r="A95" s="1" t="s">
        <v>60</v>
      </c>
      <c r="B95" s="1" t="s">
        <v>140</v>
      </c>
      <c r="C95" s="1" t="s">
        <v>24</v>
      </c>
      <c r="D95" s="1" t="s">
        <v>25</v>
      </c>
      <c r="E95" s="1" t="s">
        <v>37</v>
      </c>
      <c r="F95" s="1" t="s">
        <v>40</v>
      </c>
      <c r="G95" s="2">
        <v>44621</v>
      </c>
      <c r="H95" s="2">
        <v>44713</v>
      </c>
      <c r="I95" s="3">
        <f t="shared" si="2"/>
        <v>92</v>
      </c>
      <c r="J95" s="4">
        <v>2871386</v>
      </c>
      <c r="K95" s="4">
        <v>8694563</v>
      </c>
      <c r="L95" s="1" t="s">
        <v>17</v>
      </c>
      <c r="M95" s="1" t="s">
        <v>135</v>
      </c>
    </row>
    <row r="96" spans="1:13" x14ac:dyDescent="0.3">
      <c r="A96" s="1" t="s">
        <v>95</v>
      </c>
      <c r="B96" s="1" t="s">
        <v>139</v>
      </c>
      <c r="C96" s="1" t="s">
        <v>13</v>
      </c>
      <c r="D96" s="1" t="s">
        <v>25</v>
      </c>
      <c r="E96" s="1" t="s">
        <v>37</v>
      </c>
      <c r="F96" s="1" t="s">
        <v>40</v>
      </c>
      <c r="G96" s="2">
        <v>45170</v>
      </c>
      <c r="H96" s="2">
        <v>45261</v>
      </c>
      <c r="I96" s="3">
        <f t="shared" si="2"/>
        <v>91</v>
      </c>
      <c r="J96" s="4">
        <v>2578748</v>
      </c>
      <c r="K96" s="4">
        <v>9069084</v>
      </c>
      <c r="L96" s="1" t="s">
        <v>42</v>
      </c>
      <c r="M96" s="1" t="s">
        <v>137</v>
      </c>
    </row>
    <row r="97" spans="1:13" x14ac:dyDescent="0.3">
      <c r="A97" s="1" t="s">
        <v>107</v>
      </c>
      <c r="B97" s="1" t="s">
        <v>139</v>
      </c>
      <c r="C97" s="1" t="s">
        <v>13</v>
      </c>
      <c r="D97" s="1" t="s">
        <v>25</v>
      </c>
      <c r="E97" s="1" t="s">
        <v>37</v>
      </c>
      <c r="F97" s="1" t="s">
        <v>40</v>
      </c>
      <c r="G97" s="2">
        <v>45536</v>
      </c>
      <c r="H97" s="2">
        <v>45627</v>
      </c>
      <c r="I97" s="3">
        <f t="shared" si="2"/>
        <v>91</v>
      </c>
      <c r="J97" s="4">
        <v>3242647</v>
      </c>
      <c r="K97" s="4">
        <v>8531617</v>
      </c>
      <c r="L97" s="1" t="s">
        <v>26</v>
      </c>
      <c r="M97" s="1" t="s">
        <v>135</v>
      </c>
    </row>
    <row r="98" spans="1:13" x14ac:dyDescent="0.3">
      <c r="A98" s="1" t="s">
        <v>46</v>
      </c>
      <c r="B98" s="1" t="s">
        <v>140</v>
      </c>
      <c r="C98" s="1" t="s">
        <v>13</v>
      </c>
      <c r="D98" s="1" t="s">
        <v>25</v>
      </c>
      <c r="E98" s="1" t="s">
        <v>37</v>
      </c>
      <c r="F98" s="1" t="s">
        <v>40</v>
      </c>
      <c r="G98" s="2">
        <v>44317</v>
      </c>
      <c r="H98" s="2">
        <v>44409</v>
      </c>
      <c r="I98" s="3">
        <f t="shared" ref="I98:I100" si="3">H98-G98</f>
        <v>92</v>
      </c>
      <c r="J98" s="4">
        <v>5130016</v>
      </c>
      <c r="K98" s="4">
        <v>9165877</v>
      </c>
      <c r="L98" s="1" t="s">
        <v>22</v>
      </c>
      <c r="M98" s="1" t="s">
        <v>136</v>
      </c>
    </row>
    <row r="99" spans="1:13" x14ac:dyDescent="0.3">
      <c r="A99" s="1" t="s">
        <v>75</v>
      </c>
      <c r="B99" s="1" t="s">
        <v>140</v>
      </c>
      <c r="C99" s="1" t="s">
        <v>13</v>
      </c>
      <c r="D99" s="1" t="s">
        <v>25</v>
      </c>
      <c r="E99" s="1" t="s">
        <v>33</v>
      </c>
      <c r="F99" s="1" t="s">
        <v>28</v>
      </c>
      <c r="G99" s="2">
        <v>44774</v>
      </c>
      <c r="H99" s="2">
        <v>44866</v>
      </c>
      <c r="I99" s="3">
        <f t="shared" si="3"/>
        <v>92</v>
      </c>
      <c r="J99" s="4">
        <v>3978102</v>
      </c>
      <c r="K99" s="4">
        <v>8488880</v>
      </c>
      <c r="L99" s="1" t="s">
        <v>17</v>
      </c>
      <c r="M99" s="1" t="s">
        <v>137</v>
      </c>
    </row>
    <row r="100" spans="1:13" x14ac:dyDescent="0.3">
      <c r="A100" s="1" t="s">
        <v>35</v>
      </c>
      <c r="B100" s="1" t="s">
        <v>141</v>
      </c>
      <c r="C100" s="1" t="s">
        <v>13</v>
      </c>
      <c r="D100" s="1" t="s">
        <v>25</v>
      </c>
      <c r="E100" s="1" t="s">
        <v>16</v>
      </c>
      <c r="F100" s="1" t="s">
        <v>20</v>
      </c>
      <c r="G100" s="2">
        <v>44287</v>
      </c>
      <c r="H100" s="2">
        <v>44378</v>
      </c>
      <c r="I100" s="3">
        <f t="shared" si="3"/>
        <v>91</v>
      </c>
      <c r="J100" s="4">
        <v>3190009</v>
      </c>
      <c r="K100" s="4">
        <v>8674613</v>
      </c>
      <c r="L100" s="1" t="s">
        <v>26</v>
      </c>
      <c r="M100" s="1" t="s">
        <v>134</v>
      </c>
    </row>
  </sheetData>
  <autoFilter ref="A1:M100" xr:uid="{00000000-0001-0000-0000-000000000000}">
    <sortState xmlns:xlrd2="http://schemas.microsoft.com/office/spreadsheetml/2017/richdata2" ref="A2:M100">
      <sortCondition ref="D1:D100"/>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FFEFC-8038-4B8D-8719-BBED2EFB169F}">
  <sheetPr>
    <tabColor rgb="FF92D050"/>
  </sheetPr>
  <dimension ref="A3:C11"/>
  <sheetViews>
    <sheetView showGridLines="0" workbookViewId="0">
      <selection activeCell="D11" sqref="D11"/>
    </sheetView>
  </sheetViews>
  <sheetFormatPr defaultRowHeight="14.5" x14ac:dyDescent="0.35"/>
  <cols>
    <col min="1" max="1" width="14.90625" bestFit="1" customWidth="1"/>
    <col min="2" max="3" width="9.81640625" bestFit="1" customWidth="1"/>
  </cols>
  <sheetData>
    <row r="3" spans="1:3" x14ac:dyDescent="0.35">
      <c r="A3" s="12" t="s">
        <v>144</v>
      </c>
      <c r="B3" t="s">
        <v>153</v>
      </c>
      <c r="C3" t="s">
        <v>154</v>
      </c>
    </row>
    <row r="4" spans="1:3" x14ac:dyDescent="0.35">
      <c r="A4" s="13" t="s">
        <v>45</v>
      </c>
      <c r="B4" s="11">
        <v>72488198</v>
      </c>
      <c r="C4" s="11">
        <v>160832306</v>
      </c>
    </row>
    <row r="5" spans="1:3" x14ac:dyDescent="0.35">
      <c r="A5" s="13" t="s">
        <v>19</v>
      </c>
      <c r="B5" s="11">
        <v>73119534</v>
      </c>
      <c r="C5" s="11">
        <v>131698142</v>
      </c>
    </row>
    <row r="6" spans="1:3" x14ac:dyDescent="0.35">
      <c r="A6" s="13" t="s">
        <v>49</v>
      </c>
      <c r="B6" s="11">
        <v>46157988</v>
      </c>
      <c r="C6" s="11">
        <v>106471185</v>
      </c>
    </row>
    <row r="7" spans="1:3" x14ac:dyDescent="0.35">
      <c r="A7" s="13" t="s">
        <v>31</v>
      </c>
      <c r="B7" s="11">
        <v>42904779</v>
      </c>
      <c r="C7" s="11">
        <v>87608208</v>
      </c>
    </row>
    <row r="8" spans="1:3" x14ac:dyDescent="0.35">
      <c r="A8" s="13" t="s">
        <v>39</v>
      </c>
      <c r="B8" s="11">
        <v>59486104</v>
      </c>
      <c r="C8" s="11">
        <v>133906831</v>
      </c>
    </row>
    <row r="9" spans="1:3" x14ac:dyDescent="0.35">
      <c r="A9" s="13" t="s">
        <v>24</v>
      </c>
      <c r="B9" s="11">
        <v>56109780</v>
      </c>
      <c r="C9" s="11">
        <v>122222855</v>
      </c>
    </row>
    <row r="10" spans="1:3" x14ac:dyDescent="0.35">
      <c r="A10" s="13" t="s">
        <v>13</v>
      </c>
      <c r="B10" s="11">
        <v>61241904</v>
      </c>
      <c r="C10" s="11">
        <v>131250108</v>
      </c>
    </row>
    <row r="11" spans="1:3" x14ac:dyDescent="0.35">
      <c r="A11" s="13" t="s">
        <v>145</v>
      </c>
      <c r="B11" s="11">
        <v>411508287</v>
      </c>
      <c r="C11" s="11">
        <v>873989635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4848-D9DA-4EFF-BC86-7CBA12DB13BF}">
  <sheetPr>
    <tabColor rgb="FF92D050"/>
  </sheetPr>
  <dimension ref="A3:B20"/>
  <sheetViews>
    <sheetView workbookViewId="0">
      <selection activeCell="M13" sqref="M13"/>
    </sheetView>
  </sheetViews>
  <sheetFormatPr defaultRowHeight="14.5" x14ac:dyDescent="0.35"/>
  <cols>
    <col min="1" max="1" width="28.26953125" bestFit="1" customWidth="1"/>
    <col min="2" max="2" width="20.08984375" bestFit="1" customWidth="1"/>
  </cols>
  <sheetData>
    <row r="3" spans="1:2" x14ac:dyDescent="0.35">
      <c r="A3" s="12" t="s">
        <v>144</v>
      </c>
      <c r="B3" t="s">
        <v>146</v>
      </c>
    </row>
    <row r="4" spans="1:2" x14ac:dyDescent="0.35">
      <c r="A4" s="13" t="s">
        <v>142</v>
      </c>
      <c r="B4" s="11">
        <v>22</v>
      </c>
    </row>
    <row r="5" spans="1:2" x14ac:dyDescent="0.35">
      <c r="A5" s="14" t="s">
        <v>16</v>
      </c>
      <c r="B5" s="11">
        <v>8</v>
      </c>
    </row>
    <row r="6" spans="1:2" x14ac:dyDescent="0.35">
      <c r="A6" s="14" t="s">
        <v>37</v>
      </c>
      <c r="B6" s="11">
        <v>7</v>
      </c>
    </row>
    <row r="7" spans="1:2" x14ac:dyDescent="0.35">
      <c r="A7" s="14" t="s">
        <v>33</v>
      </c>
      <c r="B7" s="11">
        <v>7</v>
      </c>
    </row>
    <row r="8" spans="1:2" x14ac:dyDescent="0.35">
      <c r="A8" s="13" t="s">
        <v>139</v>
      </c>
      <c r="B8" s="11">
        <v>27</v>
      </c>
    </row>
    <row r="9" spans="1:2" x14ac:dyDescent="0.35">
      <c r="A9" s="14" t="s">
        <v>16</v>
      </c>
      <c r="B9" s="11">
        <v>13</v>
      </c>
    </row>
    <row r="10" spans="1:2" x14ac:dyDescent="0.35">
      <c r="A10" s="14" t="s">
        <v>37</v>
      </c>
      <c r="B10" s="11">
        <v>9</v>
      </c>
    </row>
    <row r="11" spans="1:2" x14ac:dyDescent="0.35">
      <c r="A11" s="14" t="s">
        <v>33</v>
      </c>
      <c r="B11" s="11">
        <v>5</v>
      </c>
    </row>
    <row r="12" spans="1:2" x14ac:dyDescent="0.35">
      <c r="A12" s="13" t="s">
        <v>140</v>
      </c>
      <c r="B12" s="11">
        <v>25</v>
      </c>
    </row>
    <row r="13" spans="1:2" x14ac:dyDescent="0.35">
      <c r="A13" s="14" t="s">
        <v>16</v>
      </c>
      <c r="B13" s="11">
        <v>10</v>
      </c>
    </row>
    <row r="14" spans="1:2" x14ac:dyDescent="0.35">
      <c r="A14" s="14" t="s">
        <v>37</v>
      </c>
      <c r="B14" s="11">
        <v>10</v>
      </c>
    </row>
    <row r="15" spans="1:2" x14ac:dyDescent="0.35">
      <c r="A15" s="14" t="s">
        <v>33</v>
      </c>
      <c r="B15" s="11">
        <v>5</v>
      </c>
    </row>
    <row r="16" spans="1:2" x14ac:dyDescent="0.35">
      <c r="A16" s="13" t="s">
        <v>141</v>
      </c>
      <c r="B16" s="11">
        <v>25</v>
      </c>
    </row>
    <row r="17" spans="1:2" x14ac:dyDescent="0.35">
      <c r="A17" s="14" t="s">
        <v>16</v>
      </c>
      <c r="B17" s="11">
        <v>9</v>
      </c>
    </row>
    <row r="18" spans="1:2" x14ac:dyDescent="0.35">
      <c r="A18" s="14" t="s">
        <v>37</v>
      </c>
      <c r="B18" s="11">
        <v>4</v>
      </c>
    </row>
    <row r="19" spans="1:2" x14ac:dyDescent="0.35">
      <c r="A19" s="14" t="s">
        <v>33</v>
      </c>
      <c r="B19" s="11">
        <v>12</v>
      </c>
    </row>
    <row r="20" spans="1:2" x14ac:dyDescent="0.35">
      <c r="A20" s="13" t="s">
        <v>145</v>
      </c>
      <c r="B20" s="11">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E494-FABB-4410-A7D2-63ACA9FE29D1}">
  <sheetPr>
    <tabColor rgb="FF92D050"/>
  </sheetPr>
  <dimension ref="A3:C8"/>
  <sheetViews>
    <sheetView workbookViewId="0">
      <selection activeCell="J15" sqref="J15"/>
    </sheetView>
  </sheetViews>
  <sheetFormatPr defaultRowHeight="14.5" x14ac:dyDescent="0.35"/>
  <cols>
    <col min="1" max="1" width="12.36328125" bestFit="1" customWidth="1"/>
    <col min="2" max="3" width="9.81640625" bestFit="1" customWidth="1"/>
  </cols>
  <sheetData>
    <row r="3" spans="1:3" x14ac:dyDescent="0.35">
      <c r="A3" s="12" t="s">
        <v>144</v>
      </c>
      <c r="B3" t="s">
        <v>154</v>
      </c>
      <c r="C3" t="s">
        <v>153</v>
      </c>
    </row>
    <row r="4" spans="1:3" x14ac:dyDescent="0.35">
      <c r="A4" s="13" t="s">
        <v>28</v>
      </c>
      <c r="B4" s="11">
        <v>176032687</v>
      </c>
      <c r="C4" s="11">
        <v>83967074</v>
      </c>
    </row>
    <row r="5" spans="1:3" x14ac:dyDescent="0.35">
      <c r="A5" s="13" t="s">
        <v>14</v>
      </c>
      <c r="B5" s="11">
        <v>300878329</v>
      </c>
      <c r="C5" s="11">
        <v>140684150</v>
      </c>
    </row>
    <row r="6" spans="1:3" x14ac:dyDescent="0.35">
      <c r="A6" s="13" t="s">
        <v>40</v>
      </c>
      <c r="B6" s="11">
        <v>184731871</v>
      </c>
      <c r="C6" s="11">
        <v>87668114</v>
      </c>
    </row>
    <row r="7" spans="1:3" x14ac:dyDescent="0.35">
      <c r="A7" s="13" t="s">
        <v>20</v>
      </c>
      <c r="B7" s="11">
        <v>212346748</v>
      </c>
      <c r="C7" s="11">
        <v>99188949</v>
      </c>
    </row>
    <row r="8" spans="1:3" x14ac:dyDescent="0.35">
      <c r="A8" s="13" t="s">
        <v>145</v>
      </c>
      <c r="B8" s="11">
        <v>873989635</v>
      </c>
      <c r="C8" s="11">
        <v>411508287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AE99-BD89-4AA0-BFEB-2EF13C64B48D}">
  <sheetPr>
    <tabColor rgb="FF92D050"/>
  </sheetPr>
  <dimension ref="A3:B9"/>
  <sheetViews>
    <sheetView workbookViewId="0">
      <selection activeCell="L15" sqref="L15"/>
    </sheetView>
  </sheetViews>
  <sheetFormatPr defaultRowHeight="14.5" x14ac:dyDescent="0.35"/>
  <cols>
    <col min="1" max="1" width="17.7265625" bestFit="1" customWidth="1"/>
    <col min="2" max="2" width="20.6328125" bestFit="1" customWidth="1"/>
    <col min="3" max="3" width="10.7265625" bestFit="1" customWidth="1"/>
    <col min="4" max="4" width="9.81640625" bestFit="1" customWidth="1"/>
    <col min="5" max="6" width="10.7265625" bestFit="1" customWidth="1"/>
  </cols>
  <sheetData>
    <row r="3" spans="1:2" x14ac:dyDescent="0.35">
      <c r="A3" s="12" t="s">
        <v>144</v>
      </c>
      <c r="B3" t="s">
        <v>143</v>
      </c>
    </row>
    <row r="4" spans="1:2" x14ac:dyDescent="0.35">
      <c r="A4" s="13" t="s">
        <v>15</v>
      </c>
      <c r="B4" s="11">
        <v>158908740</v>
      </c>
    </row>
    <row r="5" spans="1:2" x14ac:dyDescent="0.35">
      <c r="A5" s="13" t="s">
        <v>21</v>
      </c>
      <c r="B5" s="11">
        <v>177389272</v>
      </c>
    </row>
    <row r="6" spans="1:2" x14ac:dyDescent="0.35">
      <c r="A6" s="13" t="s">
        <v>29</v>
      </c>
      <c r="B6" s="11">
        <v>122623333</v>
      </c>
    </row>
    <row r="7" spans="1:2" x14ac:dyDescent="0.35">
      <c r="A7" s="13" t="s">
        <v>41</v>
      </c>
      <c r="B7" s="11">
        <v>212420554</v>
      </c>
    </row>
    <row r="8" spans="1:2" x14ac:dyDescent="0.35">
      <c r="A8" s="13" t="s">
        <v>25</v>
      </c>
      <c r="B8" s="11">
        <v>202647736</v>
      </c>
    </row>
    <row r="9" spans="1:2" x14ac:dyDescent="0.35">
      <c r="A9" s="13" t="s">
        <v>145</v>
      </c>
      <c r="B9" s="11">
        <v>873989635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B1C1-9EBA-4F6E-A8CB-590308D9A0B3}">
  <sheetPr>
    <tabColor rgb="FF92D050"/>
  </sheetPr>
  <dimension ref="A3:F10"/>
  <sheetViews>
    <sheetView workbookViewId="0">
      <selection activeCell="J18" sqref="J18"/>
    </sheetView>
  </sheetViews>
  <sheetFormatPr defaultRowHeight="14.5" x14ac:dyDescent="0.35"/>
  <cols>
    <col min="1" max="1" width="20.08984375" bestFit="1" customWidth="1"/>
    <col min="2" max="2" width="15.26953125" bestFit="1" customWidth="1"/>
    <col min="3" max="3" width="10" bestFit="1" customWidth="1"/>
    <col min="4" max="4" width="11.1796875" bestFit="1" customWidth="1"/>
    <col min="5" max="5" width="8.7265625" bestFit="1" customWidth="1"/>
    <col min="6" max="7" width="10.7265625" bestFit="1" customWidth="1"/>
  </cols>
  <sheetData>
    <row r="3" spans="1:6" x14ac:dyDescent="0.35">
      <c r="A3" s="12" t="s">
        <v>146</v>
      </c>
      <c r="B3" s="12" t="s">
        <v>147</v>
      </c>
    </row>
    <row r="4" spans="1:6" x14ac:dyDescent="0.35">
      <c r="A4" s="12" t="s">
        <v>144</v>
      </c>
      <c r="B4" t="s">
        <v>22</v>
      </c>
      <c r="C4" t="s">
        <v>26</v>
      </c>
      <c r="D4" t="s">
        <v>17</v>
      </c>
      <c r="E4" t="s">
        <v>42</v>
      </c>
      <c r="F4" t="s">
        <v>145</v>
      </c>
    </row>
    <row r="5" spans="1:6" x14ac:dyDescent="0.35">
      <c r="A5" s="13" t="s">
        <v>148</v>
      </c>
      <c r="B5" s="11">
        <v>7</v>
      </c>
      <c r="C5" s="11">
        <v>9</v>
      </c>
      <c r="D5" s="11">
        <v>5</v>
      </c>
      <c r="E5" s="11">
        <v>2</v>
      </c>
      <c r="F5" s="11">
        <v>23</v>
      </c>
    </row>
    <row r="6" spans="1:6" x14ac:dyDescent="0.35">
      <c r="A6" s="13" t="s">
        <v>149</v>
      </c>
      <c r="B6" s="11">
        <v>9</v>
      </c>
      <c r="C6" s="11">
        <v>6</v>
      </c>
      <c r="D6" s="11">
        <v>9</v>
      </c>
      <c r="E6" s="11">
        <v>3</v>
      </c>
      <c r="F6" s="11">
        <v>27</v>
      </c>
    </row>
    <row r="7" spans="1:6" x14ac:dyDescent="0.35">
      <c r="A7" s="13" t="s">
        <v>150</v>
      </c>
      <c r="B7" s="11">
        <v>4</v>
      </c>
      <c r="C7" s="11">
        <v>4</v>
      </c>
      <c r="D7" s="11">
        <v>4</v>
      </c>
      <c r="E7" s="11">
        <v>5</v>
      </c>
      <c r="F7" s="11">
        <v>17</v>
      </c>
    </row>
    <row r="8" spans="1:6" x14ac:dyDescent="0.35">
      <c r="A8" s="13" t="s">
        <v>151</v>
      </c>
      <c r="B8" s="11">
        <v>6</v>
      </c>
      <c r="C8" s="11">
        <v>5</v>
      </c>
      <c r="D8" s="11">
        <v>2</v>
      </c>
      <c r="E8" s="11">
        <v>3</v>
      </c>
      <c r="F8" s="11">
        <v>16</v>
      </c>
    </row>
    <row r="9" spans="1:6" x14ac:dyDescent="0.35">
      <c r="A9" s="13" t="s">
        <v>152</v>
      </c>
      <c r="B9" s="11">
        <v>1</v>
      </c>
      <c r="C9" s="11">
        <v>6</v>
      </c>
      <c r="D9" s="11">
        <v>5</v>
      </c>
      <c r="E9" s="11">
        <v>4</v>
      </c>
      <c r="F9" s="11">
        <v>16</v>
      </c>
    </row>
    <row r="10" spans="1:6" x14ac:dyDescent="0.35">
      <c r="A10" s="13" t="s">
        <v>145</v>
      </c>
      <c r="B10" s="11">
        <v>27</v>
      </c>
      <c r="C10" s="11">
        <v>30</v>
      </c>
      <c r="D10" s="11">
        <v>25</v>
      </c>
      <c r="E10" s="11">
        <v>17</v>
      </c>
      <c r="F10" s="11">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E3BE-C36E-46E0-BD24-DAABF564EC64}">
  <sheetPr>
    <tabColor rgb="FFFF0000"/>
  </sheetPr>
  <dimension ref="A1"/>
  <sheetViews>
    <sheetView showGridLines="0" showRowColHeaders="0" tabSelected="1" zoomScale="70" zoomScaleNormal="70" workbookViewId="0">
      <selection activeCell="G20" sqref="G20"/>
    </sheetView>
  </sheetViews>
  <sheetFormatPr defaultRowHeight="14.5" x14ac:dyDescent="0.35"/>
  <cols>
    <col min="1" max="16384" width="8.7265625" style="10"/>
  </cols>
  <sheetData/>
  <sheetProtection selectLockedCells="1" selectUnlockedCells="1"/>
  <pageMargins left="0.7" right="0.7" top="0.75" bottom="0.75" header="0.3" footer="0.3"/>
  <pageSetup scale="20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04</vt:lpstr>
      <vt:lpstr>Cost and Benefit by Manager</vt:lpstr>
      <vt:lpstr>Project type &amp; Complexity</vt:lpstr>
      <vt:lpstr>Benefit &amp; Cost by region</vt:lpstr>
      <vt:lpstr>Benefit by Department</vt:lpstr>
      <vt:lpstr>number of project by 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Mehrdad M.Dehghan</dc:creator>
  <cp:lastModifiedBy>mehrdad mansourdehghan</cp:lastModifiedBy>
  <dcterms:created xsi:type="dcterms:W3CDTF">2023-04-21T19:04:11Z</dcterms:created>
  <dcterms:modified xsi:type="dcterms:W3CDTF">2023-04-23T04:05:13Z</dcterms:modified>
</cp:coreProperties>
</file>