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usiness Data Analytic\Project\2-Data-Preprocessing-EDA-Correlation-and-Visualization-for-IT-Project-Management-with-Excel\"/>
    </mc:Choice>
  </mc:AlternateContent>
  <xr:revisionPtr revIDLastSave="0" documentId="13_ncr:1_{1A7C49E4-A05D-40A6-AB90-F58E1846C65B}" xr6:coauthVersionLast="47" xr6:coauthVersionMax="47" xr10:uidLastSave="{00000000-0000-0000-0000-000000000000}"/>
  <bookViews>
    <workbookView xWindow="-110" yWindow="-110" windowWidth="19420" windowHeight="10300" tabRatio="852" activeTab="1" xr2:uid="{00000000-000D-0000-FFFF-FFFF00000000}"/>
  </bookViews>
  <sheets>
    <sheet name="Project 04" sheetId="1" r:id="rId1"/>
    <sheet name="Pearson" sheetId="5" r:id="rId2"/>
  </sheets>
  <definedNames>
    <definedName name="_xlnm._FilterDatabase" localSheetId="0" hidden="1">'Project 04'!$A$1:$M$100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3" i="5"/>
  <c r="I22" i="1" l="1"/>
  <c r="I93" i="1"/>
  <c r="I43" i="1"/>
  <c r="I32" i="1"/>
  <c r="I49" i="1"/>
  <c r="I82" i="1"/>
  <c r="I100" i="1"/>
  <c r="I36" i="1"/>
  <c r="I70" i="1"/>
  <c r="I19" i="1"/>
  <c r="I20" i="1"/>
  <c r="I98" i="1"/>
  <c r="I60" i="1"/>
  <c r="I28" i="1"/>
  <c r="I86" i="1"/>
  <c r="I31" i="1"/>
  <c r="I12" i="1"/>
  <c r="I14" i="1"/>
  <c r="I88" i="1"/>
  <c r="I5" i="1"/>
  <c r="I10" i="1"/>
  <c r="I11" i="1"/>
  <c r="I66" i="1"/>
  <c r="I41" i="1"/>
  <c r="I95" i="1"/>
  <c r="I79" i="1"/>
  <c r="I2" i="1"/>
  <c r="I38" i="1"/>
  <c r="I39" i="1"/>
  <c r="I47" i="1"/>
  <c r="I3" i="1"/>
  <c r="I51" i="1"/>
  <c r="I64" i="1"/>
  <c r="I23" i="1"/>
  <c r="I37" i="1"/>
  <c r="I16" i="1"/>
  <c r="I34" i="1"/>
  <c r="I55" i="1"/>
  <c r="I56" i="1"/>
  <c r="I99" i="1"/>
  <c r="I13" i="1"/>
  <c r="I33" i="1"/>
  <c r="I69" i="1"/>
  <c r="I80" i="1"/>
  <c r="I71" i="1"/>
  <c r="I68" i="1"/>
  <c r="I15" i="1"/>
  <c r="I83" i="1"/>
  <c r="I8" i="1"/>
  <c r="I72" i="1"/>
  <c r="I84" i="1"/>
  <c r="I62" i="1"/>
  <c r="I91" i="1"/>
  <c r="I54" i="1"/>
  <c r="I42" i="1"/>
  <c r="I73" i="1"/>
  <c r="I7" i="1"/>
  <c r="I94" i="1"/>
  <c r="I44" i="1"/>
  <c r="I96" i="1"/>
  <c r="I57" i="1"/>
  <c r="I81" i="1"/>
  <c r="I9" i="1"/>
  <c r="I26" i="1"/>
  <c r="I24" i="1"/>
  <c r="I45" i="1"/>
  <c r="I29" i="1"/>
  <c r="I35" i="1"/>
  <c r="I92" i="1"/>
  <c r="I77" i="1"/>
  <c r="I74" i="1"/>
  <c r="I97" i="1"/>
  <c r="I27" i="1"/>
  <c r="I85" i="1"/>
  <c r="I6" i="1"/>
  <c r="I59" i="1"/>
  <c r="I48" i="1"/>
  <c r="I46" i="1"/>
  <c r="I40" i="1"/>
  <c r="I89" i="1"/>
  <c r="I58" i="1"/>
  <c r="I4" i="1"/>
  <c r="I67" i="1"/>
  <c r="I25" i="1"/>
  <c r="I61" i="1"/>
  <c r="I63" i="1"/>
  <c r="I50" i="1"/>
  <c r="I21" i="1"/>
  <c r="I87" i="1"/>
  <c r="I78" i="1"/>
  <c r="I53" i="1"/>
  <c r="I65" i="1"/>
  <c r="I17" i="1"/>
  <c r="I75" i="1"/>
  <c r="I90" i="1"/>
  <c r="I76" i="1"/>
  <c r="I30" i="1"/>
  <c r="I52" i="1"/>
  <c r="I18" i="1"/>
  <c r="D3" i="5" l="1"/>
  <c r="D4" i="5"/>
</calcChain>
</file>

<file path=xl/sharedStrings.xml><?xml version="1.0" encoding="utf-8"?>
<sst xmlns="http://schemas.openxmlformats.org/spreadsheetml/2006/main" count="811" uniqueCount="147">
  <si>
    <t>Project Name</t>
  </si>
  <si>
    <t>Project Type</t>
  </si>
  <si>
    <t>Project Manager</t>
  </si>
  <si>
    <t>Region</t>
  </si>
  <si>
    <t>Department</t>
  </si>
  <si>
    <t xml:space="preserve"> Project Cost </t>
  </si>
  <si>
    <t xml:space="preserve"> Project Benefit </t>
  </si>
  <si>
    <t>Complexity</t>
  </si>
  <si>
    <t>Status</t>
  </si>
  <si>
    <t>Phase</t>
  </si>
  <si>
    <t>Start Date</t>
  </si>
  <si>
    <t>End Date</t>
  </si>
  <si>
    <t>Rhinestone</t>
  </si>
  <si>
    <t>Yael Wilcox</t>
  </si>
  <si>
    <t>North</t>
  </si>
  <si>
    <t>Admin &amp; BI</t>
  </si>
  <si>
    <t>High</t>
  </si>
  <si>
    <t>In - Progress</t>
  </si>
  <si>
    <t>A Triumph Of Softwares</t>
  </si>
  <si>
    <t>Brenda Chandler</t>
  </si>
  <si>
    <t>West</t>
  </si>
  <si>
    <t>eCommerce</t>
  </si>
  <si>
    <t>Cancelled</t>
  </si>
  <si>
    <t>The Blue Bird</t>
  </si>
  <si>
    <t>Nyasia Hunter</t>
  </si>
  <si>
    <t>Warehouse</t>
  </si>
  <si>
    <t>Completed</t>
  </si>
  <si>
    <t>Remembering Our Ancestors</t>
  </si>
  <si>
    <t>East</t>
  </si>
  <si>
    <t>Sales and Marketing</t>
  </si>
  <si>
    <t>Skyhawks</t>
  </si>
  <si>
    <t>Jaylyn Mckenzie</t>
  </si>
  <si>
    <t>The Coding Master</t>
  </si>
  <si>
    <t>Medium</t>
  </si>
  <si>
    <t>Fierce, Inc.</t>
  </si>
  <si>
    <t>Mo-Money Masterclass</t>
  </si>
  <si>
    <t>Town Hall Meeting</t>
  </si>
  <si>
    <t>Low</t>
  </si>
  <si>
    <t>Yosemite</t>
  </si>
  <si>
    <t>Kamari Norris</t>
  </si>
  <si>
    <t>South</t>
  </si>
  <si>
    <t>Supply Chain</t>
  </si>
  <si>
    <t>On - Hold</t>
  </si>
  <si>
    <t>Disruptor Training</t>
  </si>
  <si>
    <t>A Salute To New Workers</t>
  </si>
  <si>
    <t>Aleena Khan</t>
  </si>
  <si>
    <t>Robust Routine</t>
  </si>
  <si>
    <t>Passion Chasers</t>
  </si>
  <si>
    <t>Switch And Swift</t>
  </si>
  <si>
    <t>Deacon Delacruz</t>
  </si>
  <si>
    <t>The Guy With Codes</t>
  </si>
  <si>
    <t>Hex Clan</t>
  </si>
  <si>
    <t>Limitless Horizons</t>
  </si>
  <si>
    <t>The Wonders Of Geek</t>
  </si>
  <si>
    <t>Sputnik</t>
  </si>
  <si>
    <t>Annual Award Show</t>
  </si>
  <si>
    <t>Active Achievement</t>
  </si>
  <si>
    <t>Static Startup</t>
  </si>
  <si>
    <t>The Successful Project</t>
  </si>
  <si>
    <t>Excalibur Training</t>
  </si>
  <si>
    <t>Enter Coding</t>
  </si>
  <si>
    <t>Code Poltergeists</t>
  </si>
  <si>
    <t>Great Leadership</t>
  </si>
  <si>
    <t>Charged By Codes</t>
  </si>
  <si>
    <t>Center For Creative Coding</t>
  </si>
  <si>
    <t>The Principal Of Change</t>
  </si>
  <si>
    <t>Orange Leaders</t>
  </si>
  <si>
    <t>Associations Now</t>
  </si>
  <si>
    <t>Coding Region</t>
  </si>
  <si>
    <t>Linkage, Inc.</t>
  </si>
  <si>
    <t>The Success</t>
  </si>
  <si>
    <t>Yoda</t>
  </si>
  <si>
    <t>Match Of Health</t>
  </si>
  <si>
    <t>Yaeger</t>
  </si>
  <si>
    <t>Fast &amp; Creative Gang</t>
  </si>
  <si>
    <t>The Coding Expert</t>
  </si>
  <si>
    <t>No-Bull Bootcamp</t>
  </si>
  <si>
    <t>Search Engine Master</t>
  </si>
  <si>
    <t>School Leadership 2.0</t>
  </si>
  <si>
    <t>The Experienced Dude</t>
  </si>
  <si>
    <t>Evening Shindig</t>
  </si>
  <si>
    <t>The Morning Ceremony</t>
  </si>
  <si>
    <t>Mentee To Mentor</t>
  </si>
  <si>
    <t>The Code Honors</t>
  </si>
  <si>
    <t>Road-To-Success Workshop</t>
  </si>
  <si>
    <t>Code Change Group</t>
  </si>
  <si>
    <t>Yellow Moose</t>
  </si>
  <si>
    <t>Moving Bird</t>
  </si>
  <si>
    <t>Ceremony Worthy Of Time</t>
  </si>
  <si>
    <t>Leadership Minds</t>
  </si>
  <si>
    <t>The Art Of Codes</t>
  </si>
  <si>
    <t>The Coding Awards</t>
  </si>
  <si>
    <t>Coding League</t>
  </si>
  <si>
    <t>Only Project Experience</t>
  </si>
  <si>
    <t>Meetup For The Good</t>
  </si>
  <si>
    <t>White Feather</t>
  </si>
  <si>
    <t>Open Source Pundits</t>
  </si>
  <si>
    <t>Next Gala</t>
  </si>
  <si>
    <t>Project Explained</t>
  </si>
  <si>
    <t>Commission Kings</t>
  </si>
  <si>
    <t>Celestial Interface</t>
  </si>
  <si>
    <t>Stratos</t>
  </si>
  <si>
    <t>Red Butter</t>
  </si>
  <si>
    <t>Smart Brief Leadership</t>
  </si>
  <si>
    <t>A Night To Celebrate</t>
  </si>
  <si>
    <t>Fast Ball</t>
  </si>
  <si>
    <t>The Network</t>
  </si>
  <si>
    <t>Practice To Perfect</t>
  </si>
  <si>
    <t>Soul Spartans</t>
  </si>
  <si>
    <t>15 Five</t>
  </si>
  <si>
    <t>Wide Stringer</t>
  </si>
  <si>
    <t>Indie Profilers</t>
  </si>
  <si>
    <t>Leadership Insights</t>
  </si>
  <si>
    <t>Gob Geeklords</t>
  </si>
  <si>
    <t>Java Dalia</t>
  </si>
  <si>
    <t>Skill Up</t>
  </si>
  <si>
    <t>Excel And Elevate Training</t>
  </si>
  <si>
    <t>Wombat</t>
  </si>
  <si>
    <t>The Social Experiment</t>
  </si>
  <si>
    <t>Box Of Crayons</t>
  </si>
  <si>
    <t>The Domain Of Work</t>
  </si>
  <si>
    <t>Impact Training</t>
  </si>
  <si>
    <t>An Evening Affair</t>
  </si>
  <si>
    <t>Social Geek Made</t>
  </si>
  <si>
    <t>Sirius</t>
  </si>
  <si>
    <t>Fast Coding</t>
  </si>
  <si>
    <t>Super Happy Fun Time!</t>
  </si>
  <si>
    <t>Software Chasers</t>
  </si>
  <si>
    <t>The Discovery Of Era</t>
  </si>
  <si>
    <t>Strive Training</t>
  </si>
  <si>
    <t>Debug Entity</t>
  </si>
  <si>
    <t>Made By Me</t>
  </si>
  <si>
    <t>Revolution</t>
  </si>
  <si>
    <t>7Th Annual Workshop</t>
  </si>
  <si>
    <t>Initiation</t>
  </si>
  <si>
    <t>Planning</t>
  </si>
  <si>
    <t>Executing</t>
  </si>
  <si>
    <t>Closing</t>
  </si>
  <si>
    <t>Duration</t>
  </si>
  <si>
    <t>Income Generation</t>
  </si>
  <si>
    <t>Process Improvement</t>
  </si>
  <si>
    <t>Working Capital Improvement</t>
  </si>
  <si>
    <t>Cost Reduction</t>
  </si>
  <si>
    <t>Covariance</t>
  </si>
  <si>
    <t>Correlation</t>
  </si>
  <si>
    <r>
      <t xml:space="preserve">Project Benefit ~ </t>
    </r>
    <r>
      <rPr>
        <b/>
        <sz val="10"/>
        <color rgb="FFFFFF00"/>
        <rFont val="Roboto"/>
      </rPr>
      <t>Duration</t>
    </r>
  </si>
  <si>
    <r>
      <t xml:space="preserve">Project Benefit ~ </t>
    </r>
    <r>
      <rPr>
        <b/>
        <sz val="10"/>
        <color rgb="FFFFFF00"/>
        <rFont val="Roboto"/>
      </rPr>
      <t>Project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</si>
</sst>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  <font>
      <b/>
      <sz val="9"/>
      <color theme="0"/>
      <name val="Roboto"/>
    </font>
    <font>
      <b/>
      <sz val="10"/>
      <color theme="0"/>
      <name val="Roboto"/>
    </font>
    <font>
      <b/>
      <sz val="10"/>
      <color rgb="FFFFFF00"/>
      <name val="Roboto"/>
    </font>
    <font>
      <sz val="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42" applyNumberFormat="1" applyFont="1"/>
    <xf numFmtId="49" fontId="22" fillId="33" borderId="0" xfId="0" applyNumberFormat="1" applyFont="1" applyFill="1"/>
    <xf numFmtId="14" fontId="22" fillId="33" borderId="0" xfId="0" applyNumberFormat="1" applyFont="1" applyFill="1"/>
    <xf numFmtId="1" fontId="22" fillId="33" borderId="0" xfId="0" applyNumberFormat="1" applyFont="1" applyFill="1"/>
    <xf numFmtId="164" fontId="22" fillId="33" borderId="0" xfId="0" applyNumberFormat="1" applyFont="1" applyFill="1"/>
    <xf numFmtId="0" fontId="22" fillId="33" borderId="0" xfId="0" applyFont="1" applyFill="1"/>
    <xf numFmtId="49" fontId="19" fillId="35" borderId="0" xfId="0" applyNumberFormat="1" applyFont="1" applyFill="1"/>
    <xf numFmtId="14" fontId="19" fillId="35" borderId="0" xfId="0" applyNumberFormat="1" applyFont="1" applyFill="1"/>
    <xf numFmtId="164" fontId="19" fillId="35" borderId="0" xfId="0" applyNumberFormat="1" applyFont="1" applyFill="1"/>
    <xf numFmtId="0" fontId="19" fillId="35" borderId="0" xfId="0" applyFont="1" applyFill="1"/>
    <xf numFmtId="0" fontId="18" fillId="0" borderId="10" xfId="0" applyFont="1" applyBorder="1" applyAlignment="1">
      <alignment horizontal="center"/>
    </xf>
    <xf numFmtId="0" fontId="20" fillId="34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Project Benefit ~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'Project 04'!$I$2:$I$100</c:f>
              <c:numCache>
                <c:formatCode>0</c:formatCode>
                <c:ptCount val="99"/>
                <c:pt idx="0">
                  <c:v>91</c:v>
                </c:pt>
                <c:pt idx="1">
                  <c:v>92</c:v>
                </c:pt>
                <c:pt idx="2">
                  <c:v>90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90</c:v>
                </c:pt>
                <c:pt idx="7">
                  <c:v>92</c:v>
                </c:pt>
                <c:pt idx="8">
                  <c:v>120</c:v>
                </c:pt>
                <c:pt idx="9">
                  <c:v>90</c:v>
                </c:pt>
                <c:pt idx="10">
                  <c:v>92</c:v>
                </c:pt>
                <c:pt idx="11">
                  <c:v>91</c:v>
                </c:pt>
                <c:pt idx="12">
                  <c:v>91</c:v>
                </c:pt>
                <c:pt idx="13">
                  <c:v>120</c:v>
                </c:pt>
                <c:pt idx="14">
                  <c:v>92</c:v>
                </c:pt>
                <c:pt idx="15">
                  <c:v>92</c:v>
                </c:pt>
                <c:pt idx="16">
                  <c:v>120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120</c:v>
                </c:pt>
                <c:pt idx="24">
                  <c:v>92</c:v>
                </c:pt>
                <c:pt idx="25">
                  <c:v>91</c:v>
                </c:pt>
                <c:pt idx="26">
                  <c:v>92</c:v>
                </c:pt>
                <c:pt idx="27">
                  <c:v>90</c:v>
                </c:pt>
                <c:pt idx="28">
                  <c:v>120</c:v>
                </c:pt>
                <c:pt idx="29">
                  <c:v>92</c:v>
                </c:pt>
                <c:pt idx="30">
                  <c:v>92</c:v>
                </c:pt>
                <c:pt idx="31">
                  <c:v>91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91</c:v>
                </c:pt>
                <c:pt idx="37">
                  <c:v>91</c:v>
                </c:pt>
                <c:pt idx="38">
                  <c:v>120</c:v>
                </c:pt>
                <c:pt idx="39">
                  <c:v>120</c:v>
                </c:pt>
                <c:pt idx="40">
                  <c:v>92</c:v>
                </c:pt>
                <c:pt idx="41">
                  <c:v>92</c:v>
                </c:pt>
                <c:pt idx="42">
                  <c:v>91</c:v>
                </c:pt>
                <c:pt idx="43">
                  <c:v>91</c:v>
                </c:pt>
                <c:pt idx="44">
                  <c:v>120</c:v>
                </c:pt>
                <c:pt idx="45">
                  <c:v>91</c:v>
                </c:pt>
                <c:pt idx="46">
                  <c:v>120</c:v>
                </c:pt>
                <c:pt idx="47">
                  <c:v>92</c:v>
                </c:pt>
                <c:pt idx="48">
                  <c:v>92</c:v>
                </c:pt>
                <c:pt idx="49">
                  <c:v>92</c:v>
                </c:pt>
                <c:pt idx="50">
                  <c:v>90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91</c:v>
                </c:pt>
                <c:pt idx="56">
                  <c:v>90</c:v>
                </c:pt>
                <c:pt idx="57">
                  <c:v>92</c:v>
                </c:pt>
                <c:pt idx="58">
                  <c:v>92</c:v>
                </c:pt>
                <c:pt idx="59">
                  <c:v>91</c:v>
                </c:pt>
                <c:pt idx="60">
                  <c:v>92</c:v>
                </c:pt>
                <c:pt idx="61">
                  <c:v>91</c:v>
                </c:pt>
                <c:pt idx="62">
                  <c:v>92</c:v>
                </c:pt>
                <c:pt idx="63">
                  <c:v>92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92</c:v>
                </c:pt>
                <c:pt idx="68">
                  <c:v>92</c:v>
                </c:pt>
                <c:pt idx="69">
                  <c:v>120</c:v>
                </c:pt>
                <c:pt idx="70">
                  <c:v>120</c:v>
                </c:pt>
                <c:pt idx="71">
                  <c:v>92</c:v>
                </c:pt>
                <c:pt idx="72">
                  <c:v>92</c:v>
                </c:pt>
                <c:pt idx="73">
                  <c:v>92</c:v>
                </c:pt>
                <c:pt idx="74">
                  <c:v>120</c:v>
                </c:pt>
                <c:pt idx="75">
                  <c:v>92</c:v>
                </c:pt>
                <c:pt idx="76">
                  <c:v>92</c:v>
                </c:pt>
                <c:pt idx="77">
                  <c:v>92</c:v>
                </c:pt>
                <c:pt idx="78">
                  <c:v>92</c:v>
                </c:pt>
                <c:pt idx="79">
                  <c:v>92</c:v>
                </c:pt>
                <c:pt idx="80">
                  <c:v>91</c:v>
                </c:pt>
                <c:pt idx="81">
                  <c:v>90</c:v>
                </c:pt>
                <c:pt idx="82">
                  <c:v>120</c:v>
                </c:pt>
                <c:pt idx="83">
                  <c:v>92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91</c:v>
                </c:pt>
                <c:pt idx="91">
                  <c:v>92</c:v>
                </c:pt>
                <c:pt idx="92">
                  <c:v>91</c:v>
                </c:pt>
                <c:pt idx="93">
                  <c:v>92</c:v>
                </c:pt>
                <c:pt idx="94">
                  <c:v>91</c:v>
                </c:pt>
                <c:pt idx="95">
                  <c:v>91</c:v>
                </c:pt>
                <c:pt idx="96">
                  <c:v>92</c:v>
                </c:pt>
                <c:pt idx="97">
                  <c:v>92</c:v>
                </c:pt>
                <c:pt idx="98">
                  <c:v>91</c:v>
                </c:pt>
              </c:numCache>
            </c:numRef>
          </c:xVal>
          <c:yVal>
            <c:numRef>
              <c:f>'Project 04'!$K$2:$K$100</c:f>
              <c:numCache>
                <c:formatCode>"$"#,##0</c:formatCode>
                <c:ptCount val="99"/>
                <c:pt idx="0">
                  <c:v>9084256</c:v>
                </c:pt>
                <c:pt idx="1">
                  <c:v>9011638</c:v>
                </c:pt>
                <c:pt idx="2">
                  <c:v>9115922</c:v>
                </c:pt>
                <c:pt idx="3">
                  <c:v>9088011</c:v>
                </c:pt>
                <c:pt idx="4">
                  <c:v>8725076</c:v>
                </c:pt>
                <c:pt idx="5">
                  <c:v>9012834</c:v>
                </c:pt>
                <c:pt idx="6">
                  <c:v>9006076</c:v>
                </c:pt>
                <c:pt idx="7">
                  <c:v>8519274</c:v>
                </c:pt>
                <c:pt idx="8">
                  <c:v>9025609</c:v>
                </c:pt>
                <c:pt idx="9">
                  <c:v>8802862</c:v>
                </c:pt>
                <c:pt idx="10">
                  <c:v>8547257</c:v>
                </c:pt>
                <c:pt idx="11">
                  <c:v>8567877</c:v>
                </c:pt>
                <c:pt idx="12">
                  <c:v>8761979</c:v>
                </c:pt>
                <c:pt idx="13">
                  <c:v>8665889</c:v>
                </c:pt>
                <c:pt idx="14">
                  <c:v>8697391</c:v>
                </c:pt>
                <c:pt idx="15">
                  <c:v>9069817</c:v>
                </c:pt>
                <c:pt idx="16">
                  <c:v>8443980</c:v>
                </c:pt>
                <c:pt idx="17">
                  <c:v>8762992</c:v>
                </c:pt>
                <c:pt idx="18">
                  <c:v>9072551</c:v>
                </c:pt>
                <c:pt idx="19">
                  <c:v>9089277</c:v>
                </c:pt>
                <c:pt idx="20">
                  <c:v>9012225</c:v>
                </c:pt>
                <c:pt idx="21">
                  <c:v>9096409</c:v>
                </c:pt>
                <c:pt idx="22">
                  <c:v>8678737</c:v>
                </c:pt>
                <c:pt idx="23">
                  <c:v>8685423</c:v>
                </c:pt>
                <c:pt idx="24">
                  <c:v>8904627</c:v>
                </c:pt>
                <c:pt idx="25">
                  <c:v>9138940</c:v>
                </c:pt>
                <c:pt idx="26">
                  <c:v>8848636</c:v>
                </c:pt>
                <c:pt idx="27">
                  <c:v>8654153</c:v>
                </c:pt>
                <c:pt idx="28">
                  <c:v>8658343</c:v>
                </c:pt>
                <c:pt idx="29">
                  <c:v>8846264</c:v>
                </c:pt>
                <c:pt idx="30">
                  <c:v>8630148</c:v>
                </c:pt>
                <c:pt idx="31">
                  <c:v>8726782</c:v>
                </c:pt>
                <c:pt idx="32">
                  <c:v>8942009</c:v>
                </c:pt>
                <c:pt idx="33">
                  <c:v>9026066</c:v>
                </c:pt>
                <c:pt idx="34">
                  <c:v>9070797</c:v>
                </c:pt>
                <c:pt idx="35">
                  <c:v>8584025</c:v>
                </c:pt>
                <c:pt idx="36">
                  <c:v>8752182</c:v>
                </c:pt>
                <c:pt idx="37">
                  <c:v>8971678</c:v>
                </c:pt>
                <c:pt idx="38">
                  <c:v>9073188</c:v>
                </c:pt>
                <c:pt idx="39">
                  <c:v>8529903</c:v>
                </c:pt>
                <c:pt idx="40">
                  <c:v>8573039</c:v>
                </c:pt>
                <c:pt idx="41">
                  <c:v>8719006</c:v>
                </c:pt>
                <c:pt idx="42">
                  <c:v>8957341</c:v>
                </c:pt>
                <c:pt idx="43">
                  <c:v>8913514</c:v>
                </c:pt>
                <c:pt idx="44">
                  <c:v>9081480</c:v>
                </c:pt>
                <c:pt idx="45">
                  <c:v>8715081</c:v>
                </c:pt>
                <c:pt idx="46">
                  <c:v>9146561</c:v>
                </c:pt>
                <c:pt idx="47">
                  <c:v>8504224</c:v>
                </c:pt>
                <c:pt idx="48">
                  <c:v>8890269</c:v>
                </c:pt>
                <c:pt idx="49">
                  <c:v>8470209</c:v>
                </c:pt>
                <c:pt idx="50">
                  <c:v>8422578</c:v>
                </c:pt>
                <c:pt idx="51">
                  <c:v>8626940</c:v>
                </c:pt>
                <c:pt idx="52">
                  <c:v>9040473</c:v>
                </c:pt>
                <c:pt idx="53">
                  <c:v>8548973</c:v>
                </c:pt>
                <c:pt idx="54">
                  <c:v>9111026</c:v>
                </c:pt>
                <c:pt idx="55">
                  <c:v>9016356</c:v>
                </c:pt>
                <c:pt idx="56">
                  <c:v>9097786</c:v>
                </c:pt>
                <c:pt idx="57">
                  <c:v>8804458</c:v>
                </c:pt>
                <c:pt idx="58">
                  <c:v>8586905</c:v>
                </c:pt>
                <c:pt idx="59">
                  <c:v>8877742</c:v>
                </c:pt>
                <c:pt idx="60">
                  <c:v>8478594</c:v>
                </c:pt>
                <c:pt idx="61">
                  <c:v>8757403</c:v>
                </c:pt>
                <c:pt idx="62">
                  <c:v>9127150</c:v>
                </c:pt>
                <c:pt idx="63">
                  <c:v>9006043</c:v>
                </c:pt>
                <c:pt idx="64">
                  <c:v>8973631</c:v>
                </c:pt>
                <c:pt idx="65">
                  <c:v>8599058</c:v>
                </c:pt>
                <c:pt idx="66">
                  <c:v>8780231</c:v>
                </c:pt>
                <c:pt idx="67">
                  <c:v>9022111</c:v>
                </c:pt>
                <c:pt idx="68">
                  <c:v>8994585</c:v>
                </c:pt>
                <c:pt idx="69">
                  <c:v>9084736</c:v>
                </c:pt>
                <c:pt idx="70">
                  <c:v>8527421</c:v>
                </c:pt>
                <c:pt idx="71">
                  <c:v>8910680</c:v>
                </c:pt>
                <c:pt idx="72">
                  <c:v>8846243</c:v>
                </c:pt>
                <c:pt idx="73">
                  <c:v>8817917</c:v>
                </c:pt>
                <c:pt idx="74">
                  <c:v>8895152</c:v>
                </c:pt>
                <c:pt idx="75">
                  <c:v>8515880</c:v>
                </c:pt>
                <c:pt idx="76">
                  <c:v>9103716</c:v>
                </c:pt>
                <c:pt idx="77">
                  <c:v>8800186</c:v>
                </c:pt>
                <c:pt idx="78">
                  <c:v>8429375</c:v>
                </c:pt>
                <c:pt idx="79">
                  <c:v>8696481</c:v>
                </c:pt>
                <c:pt idx="80">
                  <c:v>9014448</c:v>
                </c:pt>
                <c:pt idx="81">
                  <c:v>8539690</c:v>
                </c:pt>
                <c:pt idx="82">
                  <c:v>8769988</c:v>
                </c:pt>
                <c:pt idx="83">
                  <c:v>8577445</c:v>
                </c:pt>
                <c:pt idx="84">
                  <c:v>9125362</c:v>
                </c:pt>
                <c:pt idx="85">
                  <c:v>8895516</c:v>
                </c:pt>
                <c:pt idx="86">
                  <c:v>8979944</c:v>
                </c:pt>
                <c:pt idx="87">
                  <c:v>8985903</c:v>
                </c:pt>
                <c:pt idx="88">
                  <c:v>8872443</c:v>
                </c:pt>
                <c:pt idx="89">
                  <c:v>8830540</c:v>
                </c:pt>
                <c:pt idx="90">
                  <c:v>8547124</c:v>
                </c:pt>
                <c:pt idx="91">
                  <c:v>9078339</c:v>
                </c:pt>
                <c:pt idx="92">
                  <c:v>8776602</c:v>
                </c:pt>
                <c:pt idx="93">
                  <c:v>8694563</c:v>
                </c:pt>
                <c:pt idx="94">
                  <c:v>9069084</c:v>
                </c:pt>
                <c:pt idx="95">
                  <c:v>8531617</c:v>
                </c:pt>
                <c:pt idx="96">
                  <c:v>9165877</c:v>
                </c:pt>
                <c:pt idx="97">
                  <c:v>8488880</c:v>
                </c:pt>
                <c:pt idx="98">
                  <c:v>8674613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7334-4267-B842-A7010C92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869600"/>
        <c:axId val="1437873440"/>
      </c:scatterChart>
      <c:valAx>
        <c:axId val="1437869600"/>
        <c:scaling>
          <c:orientation val="minMax"/>
          <c:min val="9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437873440"/>
        <c:crosses val="autoZero"/>
        <c:crossBetween val="midCat"/>
      </c:valAx>
      <c:valAx>
        <c:axId val="143787344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43786960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Project Benefit ~ Project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'Project 04'!$J$2:$J$100</c:f>
              <c:numCache>
                <c:formatCode>"$"#,##0</c:formatCode>
                <c:ptCount val="99"/>
                <c:pt idx="0">
                  <c:v>5609775</c:v>
                </c:pt>
                <c:pt idx="1">
                  <c:v>4502248</c:v>
                </c:pt>
                <c:pt idx="2">
                  <c:v>3652611</c:v>
                </c:pt>
                <c:pt idx="3">
                  <c:v>5505123</c:v>
                </c:pt>
                <c:pt idx="4">
                  <c:v>4009744</c:v>
                </c:pt>
                <c:pt idx="5">
                  <c:v>5949337</c:v>
                </c:pt>
                <c:pt idx="6">
                  <c:v>4646988</c:v>
                </c:pt>
                <c:pt idx="7">
                  <c:v>5156291</c:v>
                </c:pt>
                <c:pt idx="8">
                  <c:v>2548471</c:v>
                </c:pt>
                <c:pt idx="9">
                  <c:v>5869643</c:v>
                </c:pt>
                <c:pt idx="10">
                  <c:v>4413449</c:v>
                </c:pt>
                <c:pt idx="11">
                  <c:v>2745999</c:v>
                </c:pt>
                <c:pt idx="12">
                  <c:v>3440225</c:v>
                </c:pt>
                <c:pt idx="13">
                  <c:v>5072095</c:v>
                </c:pt>
                <c:pt idx="14">
                  <c:v>5859707</c:v>
                </c:pt>
                <c:pt idx="15">
                  <c:v>4908311</c:v>
                </c:pt>
                <c:pt idx="16">
                  <c:v>3648615</c:v>
                </c:pt>
                <c:pt idx="17">
                  <c:v>3508173</c:v>
                </c:pt>
                <c:pt idx="18">
                  <c:v>2534102</c:v>
                </c:pt>
                <c:pt idx="19">
                  <c:v>2681420</c:v>
                </c:pt>
                <c:pt idx="20">
                  <c:v>4018835</c:v>
                </c:pt>
                <c:pt idx="21">
                  <c:v>5913478</c:v>
                </c:pt>
                <c:pt idx="22">
                  <c:v>4569504</c:v>
                </c:pt>
                <c:pt idx="23">
                  <c:v>4286305</c:v>
                </c:pt>
                <c:pt idx="24">
                  <c:v>3014053</c:v>
                </c:pt>
                <c:pt idx="25">
                  <c:v>2418301</c:v>
                </c:pt>
                <c:pt idx="26">
                  <c:v>4170710</c:v>
                </c:pt>
                <c:pt idx="27">
                  <c:v>4603061</c:v>
                </c:pt>
                <c:pt idx="28">
                  <c:v>4606575</c:v>
                </c:pt>
                <c:pt idx="29">
                  <c:v>3478794</c:v>
                </c:pt>
                <c:pt idx="30">
                  <c:v>5785601</c:v>
                </c:pt>
                <c:pt idx="31">
                  <c:v>3787473</c:v>
                </c:pt>
                <c:pt idx="32">
                  <c:v>4172827</c:v>
                </c:pt>
                <c:pt idx="33">
                  <c:v>4505046</c:v>
                </c:pt>
                <c:pt idx="34">
                  <c:v>3442649</c:v>
                </c:pt>
                <c:pt idx="35">
                  <c:v>2631019</c:v>
                </c:pt>
                <c:pt idx="36">
                  <c:v>5044306</c:v>
                </c:pt>
                <c:pt idx="37">
                  <c:v>2931685</c:v>
                </c:pt>
                <c:pt idx="38">
                  <c:v>2781408</c:v>
                </c:pt>
                <c:pt idx="39">
                  <c:v>3814857</c:v>
                </c:pt>
                <c:pt idx="40">
                  <c:v>5643858</c:v>
                </c:pt>
                <c:pt idx="41">
                  <c:v>5285864</c:v>
                </c:pt>
                <c:pt idx="42">
                  <c:v>2745287</c:v>
                </c:pt>
                <c:pt idx="43">
                  <c:v>2429395</c:v>
                </c:pt>
                <c:pt idx="44">
                  <c:v>5732006</c:v>
                </c:pt>
                <c:pt idx="45">
                  <c:v>3730999</c:v>
                </c:pt>
                <c:pt idx="46">
                  <c:v>3526630</c:v>
                </c:pt>
                <c:pt idx="47">
                  <c:v>3326031</c:v>
                </c:pt>
                <c:pt idx="48">
                  <c:v>3685580</c:v>
                </c:pt>
                <c:pt idx="49">
                  <c:v>2450782</c:v>
                </c:pt>
                <c:pt idx="50">
                  <c:v>5054482</c:v>
                </c:pt>
                <c:pt idx="51">
                  <c:v>5880610</c:v>
                </c:pt>
                <c:pt idx="52">
                  <c:v>3107456</c:v>
                </c:pt>
                <c:pt idx="53">
                  <c:v>4249668</c:v>
                </c:pt>
                <c:pt idx="54">
                  <c:v>3156318</c:v>
                </c:pt>
                <c:pt idx="55">
                  <c:v>2806512</c:v>
                </c:pt>
                <c:pt idx="56">
                  <c:v>4434679</c:v>
                </c:pt>
                <c:pt idx="57">
                  <c:v>5461756</c:v>
                </c:pt>
                <c:pt idx="58">
                  <c:v>5953512</c:v>
                </c:pt>
                <c:pt idx="59">
                  <c:v>5150366</c:v>
                </c:pt>
                <c:pt idx="60">
                  <c:v>4505069</c:v>
                </c:pt>
                <c:pt idx="61">
                  <c:v>5620822</c:v>
                </c:pt>
                <c:pt idx="62">
                  <c:v>3718103</c:v>
                </c:pt>
                <c:pt idx="63">
                  <c:v>3932724</c:v>
                </c:pt>
                <c:pt idx="64">
                  <c:v>5974815</c:v>
                </c:pt>
                <c:pt idx="65">
                  <c:v>2906572</c:v>
                </c:pt>
                <c:pt idx="66">
                  <c:v>4802423</c:v>
                </c:pt>
                <c:pt idx="67">
                  <c:v>4497364</c:v>
                </c:pt>
                <c:pt idx="68">
                  <c:v>3475275</c:v>
                </c:pt>
                <c:pt idx="69">
                  <c:v>3472531</c:v>
                </c:pt>
                <c:pt idx="70">
                  <c:v>5412530</c:v>
                </c:pt>
                <c:pt idx="71">
                  <c:v>4612925</c:v>
                </c:pt>
                <c:pt idx="72">
                  <c:v>5418933</c:v>
                </c:pt>
                <c:pt idx="73">
                  <c:v>5259436</c:v>
                </c:pt>
                <c:pt idx="74">
                  <c:v>4283481</c:v>
                </c:pt>
                <c:pt idx="75">
                  <c:v>4426475</c:v>
                </c:pt>
                <c:pt idx="76">
                  <c:v>2693471</c:v>
                </c:pt>
                <c:pt idx="77">
                  <c:v>3201907</c:v>
                </c:pt>
                <c:pt idx="78">
                  <c:v>5570834</c:v>
                </c:pt>
                <c:pt idx="79">
                  <c:v>3261249</c:v>
                </c:pt>
                <c:pt idx="80">
                  <c:v>4557606</c:v>
                </c:pt>
                <c:pt idx="81">
                  <c:v>5896885</c:v>
                </c:pt>
                <c:pt idx="82">
                  <c:v>5543765</c:v>
                </c:pt>
                <c:pt idx="83">
                  <c:v>4258440</c:v>
                </c:pt>
                <c:pt idx="84">
                  <c:v>3472986</c:v>
                </c:pt>
                <c:pt idx="85">
                  <c:v>4805056</c:v>
                </c:pt>
                <c:pt idx="86">
                  <c:v>2900355</c:v>
                </c:pt>
                <c:pt idx="87">
                  <c:v>3678091</c:v>
                </c:pt>
                <c:pt idx="88">
                  <c:v>4790417</c:v>
                </c:pt>
                <c:pt idx="89">
                  <c:v>4013283</c:v>
                </c:pt>
                <c:pt idx="90">
                  <c:v>2706279</c:v>
                </c:pt>
                <c:pt idx="91">
                  <c:v>4285483</c:v>
                </c:pt>
                <c:pt idx="92">
                  <c:v>2511189</c:v>
                </c:pt>
                <c:pt idx="93">
                  <c:v>2871386</c:v>
                </c:pt>
                <c:pt idx="94">
                  <c:v>2578748</c:v>
                </c:pt>
                <c:pt idx="95">
                  <c:v>3242647</c:v>
                </c:pt>
                <c:pt idx="96">
                  <c:v>5130016</c:v>
                </c:pt>
                <c:pt idx="97">
                  <c:v>3978102</c:v>
                </c:pt>
                <c:pt idx="98">
                  <c:v>3190009</c:v>
                </c:pt>
              </c:numCache>
            </c:numRef>
          </c:xVal>
          <c:yVal>
            <c:numRef>
              <c:f>'Project 04'!$K$2:$K$100</c:f>
              <c:numCache>
                <c:formatCode>"$"#,##0</c:formatCode>
                <c:ptCount val="99"/>
                <c:pt idx="0">
                  <c:v>9084256</c:v>
                </c:pt>
                <c:pt idx="1">
                  <c:v>9011638</c:v>
                </c:pt>
                <c:pt idx="2">
                  <c:v>9115922</c:v>
                </c:pt>
                <c:pt idx="3">
                  <c:v>9088011</c:v>
                </c:pt>
                <c:pt idx="4">
                  <c:v>8725076</c:v>
                </c:pt>
                <c:pt idx="5">
                  <c:v>9012834</c:v>
                </c:pt>
                <c:pt idx="6">
                  <c:v>9006076</c:v>
                </c:pt>
                <c:pt idx="7">
                  <c:v>8519274</c:v>
                </c:pt>
                <c:pt idx="8">
                  <c:v>9025609</c:v>
                </c:pt>
                <c:pt idx="9">
                  <c:v>8802862</c:v>
                </c:pt>
                <c:pt idx="10">
                  <c:v>8547257</c:v>
                </c:pt>
                <c:pt idx="11">
                  <c:v>8567877</c:v>
                </c:pt>
                <c:pt idx="12">
                  <c:v>8761979</c:v>
                </c:pt>
                <c:pt idx="13">
                  <c:v>8665889</c:v>
                </c:pt>
                <c:pt idx="14">
                  <c:v>8697391</c:v>
                </c:pt>
                <c:pt idx="15">
                  <c:v>9069817</c:v>
                </c:pt>
                <c:pt idx="16">
                  <c:v>8443980</c:v>
                </c:pt>
                <c:pt idx="17">
                  <c:v>8762992</c:v>
                </c:pt>
                <c:pt idx="18">
                  <c:v>9072551</c:v>
                </c:pt>
                <c:pt idx="19">
                  <c:v>9089277</c:v>
                </c:pt>
                <c:pt idx="20">
                  <c:v>9012225</c:v>
                </c:pt>
                <c:pt idx="21">
                  <c:v>9096409</c:v>
                </c:pt>
                <c:pt idx="22">
                  <c:v>8678737</c:v>
                </c:pt>
                <c:pt idx="23">
                  <c:v>8685423</c:v>
                </c:pt>
                <c:pt idx="24">
                  <c:v>8904627</c:v>
                </c:pt>
                <c:pt idx="25">
                  <c:v>9138940</c:v>
                </c:pt>
                <c:pt idx="26">
                  <c:v>8848636</c:v>
                </c:pt>
                <c:pt idx="27">
                  <c:v>8654153</c:v>
                </c:pt>
                <c:pt idx="28">
                  <c:v>8658343</c:v>
                </c:pt>
                <c:pt idx="29">
                  <c:v>8846264</c:v>
                </c:pt>
                <c:pt idx="30">
                  <c:v>8630148</c:v>
                </c:pt>
                <c:pt idx="31">
                  <c:v>8726782</c:v>
                </c:pt>
                <c:pt idx="32">
                  <c:v>8942009</c:v>
                </c:pt>
                <c:pt idx="33">
                  <c:v>9026066</c:v>
                </c:pt>
                <c:pt idx="34">
                  <c:v>9070797</c:v>
                </c:pt>
                <c:pt idx="35">
                  <c:v>8584025</c:v>
                </c:pt>
                <c:pt idx="36">
                  <c:v>8752182</c:v>
                </c:pt>
                <c:pt idx="37">
                  <c:v>8971678</c:v>
                </c:pt>
                <c:pt idx="38">
                  <c:v>9073188</c:v>
                </c:pt>
                <c:pt idx="39">
                  <c:v>8529903</c:v>
                </c:pt>
                <c:pt idx="40">
                  <c:v>8573039</c:v>
                </c:pt>
                <c:pt idx="41">
                  <c:v>8719006</c:v>
                </c:pt>
                <c:pt idx="42">
                  <c:v>8957341</c:v>
                </c:pt>
                <c:pt idx="43">
                  <c:v>8913514</c:v>
                </c:pt>
                <c:pt idx="44">
                  <c:v>9081480</c:v>
                </c:pt>
                <c:pt idx="45">
                  <c:v>8715081</c:v>
                </c:pt>
                <c:pt idx="46">
                  <c:v>9146561</c:v>
                </c:pt>
                <c:pt idx="47">
                  <c:v>8504224</c:v>
                </c:pt>
                <c:pt idx="48">
                  <c:v>8890269</c:v>
                </c:pt>
                <c:pt idx="49">
                  <c:v>8470209</c:v>
                </c:pt>
                <c:pt idx="50">
                  <c:v>8422578</c:v>
                </c:pt>
                <c:pt idx="51">
                  <c:v>8626940</c:v>
                </c:pt>
                <c:pt idx="52">
                  <c:v>9040473</c:v>
                </c:pt>
                <c:pt idx="53">
                  <c:v>8548973</c:v>
                </c:pt>
                <c:pt idx="54">
                  <c:v>9111026</c:v>
                </c:pt>
                <c:pt idx="55">
                  <c:v>9016356</c:v>
                </c:pt>
                <c:pt idx="56">
                  <c:v>9097786</c:v>
                </c:pt>
                <c:pt idx="57">
                  <c:v>8804458</c:v>
                </c:pt>
                <c:pt idx="58">
                  <c:v>8586905</c:v>
                </c:pt>
                <c:pt idx="59">
                  <c:v>8877742</c:v>
                </c:pt>
                <c:pt idx="60">
                  <c:v>8478594</c:v>
                </c:pt>
                <c:pt idx="61">
                  <c:v>8757403</c:v>
                </c:pt>
                <c:pt idx="62">
                  <c:v>9127150</c:v>
                </c:pt>
                <c:pt idx="63">
                  <c:v>9006043</c:v>
                </c:pt>
                <c:pt idx="64">
                  <c:v>8973631</c:v>
                </c:pt>
                <c:pt idx="65">
                  <c:v>8599058</c:v>
                </c:pt>
                <c:pt idx="66">
                  <c:v>8780231</c:v>
                </c:pt>
                <c:pt idx="67">
                  <c:v>9022111</c:v>
                </c:pt>
                <c:pt idx="68">
                  <c:v>8994585</c:v>
                </c:pt>
                <c:pt idx="69">
                  <c:v>9084736</c:v>
                </c:pt>
                <c:pt idx="70">
                  <c:v>8527421</c:v>
                </c:pt>
                <c:pt idx="71">
                  <c:v>8910680</c:v>
                </c:pt>
                <c:pt idx="72">
                  <c:v>8846243</c:v>
                </c:pt>
                <c:pt idx="73">
                  <c:v>8817917</c:v>
                </c:pt>
                <c:pt idx="74">
                  <c:v>8895152</c:v>
                </c:pt>
                <c:pt idx="75">
                  <c:v>8515880</c:v>
                </c:pt>
                <c:pt idx="76">
                  <c:v>9103716</c:v>
                </c:pt>
                <c:pt idx="77">
                  <c:v>8800186</c:v>
                </c:pt>
                <c:pt idx="78">
                  <c:v>8429375</c:v>
                </c:pt>
                <c:pt idx="79">
                  <c:v>8696481</c:v>
                </c:pt>
                <c:pt idx="80">
                  <c:v>9014448</c:v>
                </c:pt>
                <c:pt idx="81">
                  <c:v>8539690</c:v>
                </c:pt>
                <c:pt idx="82">
                  <c:v>8769988</c:v>
                </c:pt>
                <c:pt idx="83">
                  <c:v>8577445</c:v>
                </c:pt>
                <c:pt idx="84">
                  <c:v>9125362</c:v>
                </c:pt>
                <c:pt idx="85">
                  <c:v>8895516</c:v>
                </c:pt>
                <c:pt idx="86">
                  <c:v>8979944</c:v>
                </c:pt>
                <c:pt idx="87">
                  <c:v>8985903</c:v>
                </c:pt>
                <c:pt idx="88">
                  <c:v>8872443</c:v>
                </c:pt>
                <c:pt idx="89">
                  <c:v>8830540</c:v>
                </c:pt>
                <c:pt idx="90">
                  <c:v>8547124</c:v>
                </c:pt>
                <c:pt idx="91">
                  <c:v>9078339</c:v>
                </c:pt>
                <c:pt idx="92">
                  <c:v>8776602</c:v>
                </c:pt>
                <c:pt idx="93">
                  <c:v>8694563</c:v>
                </c:pt>
                <c:pt idx="94">
                  <c:v>9069084</c:v>
                </c:pt>
                <c:pt idx="95">
                  <c:v>8531617</c:v>
                </c:pt>
                <c:pt idx="96">
                  <c:v>9165877</c:v>
                </c:pt>
                <c:pt idx="97">
                  <c:v>8488880</c:v>
                </c:pt>
                <c:pt idx="98">
                  <c:v>8674613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33-455D-B1AA-B2DF2603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869600"/>
        <c:axId val="1437873440"/>
      </c:scatterChart>
      <c:valAx>
        <c:axId val="1437869600"/>
        <c:scaling>
          <c:orientation val="minMax"/>
          <c:min val="2000000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437873440"/>
        <c:crosses val="autoZero"/>
        <c:crossBetween val="midCat"/>
        <c:majorUnit val="1500000"/>
      </c:valAx>
      <c:valAx>
        <c:axId val="143787344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43786960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4</xdr:row>
      <xdr:rowOff>95250</xdr:rowOff>
    </xdr:from>
    <xdr:to>
      <xdr:col>8</xdr:col>
      <xdr:colOff>187325</xdr:colOff>
      <xdr:row>18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F5C066-9C06-40FD-3394-4AACEF92F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4</xdr:row>
      <xdr:rowOff>146050</xdr:rowOff>
    </xdr:from>
    <xdr:to>
      <xdr:col>16</xdr:col>
      <xdr:colOff>279400</xdr:colOff>
      <xdr:row>19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077F07-639E-4A39-AC82-98BA7415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showGridLines="0" zoomScale="90" zoomScaleNormal="90" workbookViewId="0">
      <pane ySplit="1" topLeftCell="A76" activePane="bottomLeft" state="frozen"/>
      <selection pane="bottomLeft" activeCell="D83" sqref="D83:D84"/>
    </sheetView>
  </sheetViews>
  <sheetFormatPr defaultColWidth="0" defaultRowHeight="12" x14ac:dyDescent="0.3"/>
  <cols>
    <col min="1" max="1" width="22" style="2" bestFit="1" customWidth="1"/>
    <col min="2" max="2" width="22.6328125" style="2" bestFit="1" customWidth="1"/>
    <col min="3" max="3" width="15.6328125" style="2" bestFit="1" customWidth="1"/>
    <col min="4" max="4" width="15.7265625" style="2" bestFit="1" customWidth="1"/>
    <col min="5" max="5" width="11.54296875" style="2" bestFit="1" customWidth="1"/>
    <col min="6" max="6" width="8.1796875" style="2" bestFit="1" customWidth="1"/>
    <col min="7" max="7" width="10.54296875" style="3" bestFit="1" customWidth="1"/>
    <col min="8" max="8" width="10.81640625" style="3" bestFit="1" customWidth="1"/>
    <col min="9" max="9" width="9.453125" style="4" bestFit="1" customWidth="1"/>
    <col min="10" max="10" width="12.90625" style="5" bestFit="1" customWidth="1"/>
    <col min="11" max="11" width="14.81640625" style="5" bestFit="1" customWidth="1"/>
    <col min="12" max="12" width="11.08984375" style="2" bestFit="1" customWidth="1"/>
    <col min="13" max="13" width="18" style="2" bestFit="1" customWidth="1"/>
    <col min="14" max="15" width="0" style="6" hidden="1" customWidth="1"/>
    <col min="16" max="16384" width="8.7265625" style="6" hidden="1"/>
  </cols>
  <sheetData>
    <row r="1" spans="1:13" s="10" customFormat="1" x14ac:dyDescent="0.3">
      <c r="A1" s="7" t="s">
        <v>0</v>
      </c>
      <c r="B1" s="7" t="s">
        <v>1</v>
      </c>
      <c r="C1" s="7" t="s">
        <v>2</v>
      </c>
      <c r="D1" s="7" t="s">
        <v>4</v>
      </c>
      <c r="E1" s="7" t="s">
        <v>7</v>
      </c>
      <c r="F1" s="7" t="s">
        <v>3</v>
      </c>
      <c r="G1" s="8" t="s">
        <v>10</v>
      </c>
      <c r="H1" s="8" t="s">
        <v>11</v>
      </c>
      <c r="I1" s="8" t="s">
        <v>138</v>
      </c>
      <c r="J1" s="9" t="s">
        <v>5</v>
      </c>
      <c r="K1" s="9" t="s">
        <v>6</v>
      </c>
      <c r="L1" s="7" t="s">
        <v>8</v>
      </c>
      <c r="M1" s="7" t="s">
        <v>9</v>
      </c>
    </row>
    <row r="2" spans="1:13" x14ac:dyDescent="0.3">
      <c r="A2" s="2" t="s">
        <v>62</v>
      </c>
      <c r="B2" s="2" t="s">
        <v>139</v>
      </c>
      <c r="C2" s="2" t="s">
        <v>45</v>
      </c>
      <c r="D2" s="2" t="s">
        <v>15</v>
      </c>
      <c r="E2" s="2" t="s">
        <v>16</v>
      </c>
      <c r="F2" s="2" t="s">
        <v>20</v>
      </c>
      <c r="G2" s="3">
        <v>44652</v>
      </c>
      <c r="H2" s="3">
        <v>44743</v>
      </c>
      <c r="I2" s="4">
        <f t="shared" ref="I2:I33" si="0">H2-G2</f>
        <v>91</v>
      </c>
      <c r="J2" s="5">
        <v>5609775</v>
      </c>
      <c r="K2" s="5">
        <v>9084256</v>
      </c>
      <c r="L2" s="2" t="s">
        <v>26</v>
      </c>
      <c r="M2" s="2" t="s">
        <v>135</v>
      </c>
    </row>
    <row r="3" spans="1:13" x14ac:dyDescent="0.3">
      <c r="A3" s="2" t="s">
        <v>66</v>
      </c>
      <c r="B3" s="2" t="s">
        <v>139</v>
      </c>
      <c r="C3" s="2" t="s">
        <v>45</v>
      </c>
      <c r="D3" s="2" t="s">
        <v>15</v>
      </c>
      <c r="E3" s="2" t="s">
        <v>33</v>
      </c>
      <c r="F3" s="2" t="s">
        <v>14</v>
      </c>
      <c r="G3" s="3">
        <v>44682</v>
      </c>
      <c r="H3" s="3">
        <v>44774</v>
      </c>
      <c r="I3" s="4">
        <f t="shared" si="0"/>
        <v>92</v>
      </c>
      <c r="J3" s="5">
        <v>4502248</v>
      </c>
      <c r="K3" s="5">
        <v>9011638</v>
      </c>
      <c r="L3" s="2" t="s">
        <v>17</v>
      </c>
      <c r="M3" s="2" t="s">
        <v>137</v>
      </c>
    </row>
    <row r="4" spans="1:13" x14ac:dyDescent="0.3">
      <c r="A4" s="2" t="s">
        <v>117</v>
      </c>
      <c r="B4" s="2" t="s">
        <v>139</v>
      </c>
      <c r="C4" s="2" t="s">
        <v>45</v>
      </c>
      <c r="D4" s="2" t="s">
        <v>15</v>
      </c>
      <c r="E4" s="2" t="s">
        <v>37</v>
      </c>
      <c r="F4" s="2" t="s">
        <v>20</v>
      </c>
      <c r="G4" s="3">
        <v>45627</v>
      </c>
      <c r="H4" s="3">
        <v>45717</v>
      </c>
      <c r="I4" s="4">
        <f t="shared" si="0"/>
        <v>90</v>
      </c>
      <c r="J4" s="5">
        <v>3652611</v>
      </c>
      <c r="K4" s="5">
        <v>9115922</v>
      </c>
      <c r="L4" s="2" t="s">
        <v>26</v>
      </c>
      <c r="M4" s="2" t="s">
        <v>137</v>
      </c>
    </row>
    <row r="5" spans="1:13" x14ac:dyDescent="0.3">
      <c r="A5" s="2" t="s">
        <v>55</v>
      </c>
      <c r="B5" s="2" t="s">
        <v>140</v>
      </c>
      <c r="C5" s="2" t="s">
        <v>45</v>
      </c>
      <c r="D5" s="2" t="s">
        <v>15</v>
      </c>
      <c r="E5" s="2" t="s">
        <v>16</v>
      </c>
      <c r="F5" s="2" t="s">
        <v>28</v>
      </c>
      <c r="G5" s="3">
        <v>44470</v>
      </c>
      <c r="H5" s="3">
        <v>44562</v>
      </c>
      <c r="I5" s="4">
        <f t="shared" si="0"/>
        <v>92</v>
      </c>
      <c r="J5" s="5">
        <v>5505123</v>
      </c>
      <c r="K5" s="5">
        <v>9088011</v>
      </c>
      <c r="L5" s="2" t="s">
        <v>26</v>
      </c>
      <c r="M5" s="2" t="s">
        <v>135</v>
      </c>
    </row>
    <row r="6" spans="1:13" x14ac:dyDescent="0.3">
      <c r="A6" s="2" t="s">
        <v>110</v>
      </c>
      <c r="B6" s="2" t="s">
        <v>140</v>
      </c>
      <c r="C6" s="2" t="s">
        <v>45</v>
      </c>
      <c r="D6" s="2" t="s">
        <v>15</v>
      </c>
      <c r="E6" s="2" t="s">
        <v>16</v>
      </c>
      <c r="F6" s="2" t="s">
        <v>40</v>
      </c>
      <c r="G6" s="3">
        <v>45566</v>
      </c>
      <c r="H6" s="3">
        <v>45658</v>
      </c>
      <c r="I6" s="4">
        <f t="shared" si="0"/>
        <v>92</v>
      </c>
      <c r="J6" s="5">
        <v>4009744</v>
      </c>
      <c r="K6" s="5">
        <v>8725076</v>
      </c>
      <c r="L6" s="2" t="s">
        <v>22</v>
      </c>
      <c r="M6" s="2" t="s">
        <v>136</v>
      </c>
    </row>
    <row r="7" spans="1:13" x14ac:dyDescent="0.3">
      <c r="A7" s="2" t="s">
        <v>92</v>
      </c>
      <c r="B7" s="2" t="s">
        <v>141</v>
      </c>
      <c r="C7" s="2" t="s">
        <v>45</v>
      </c>
      <c r="D7" s="2" t="s">
        <v>15</v>
      </c>
      <c r="E7" s="2" t="s">
        <v>33</v>
      </c>
      <c r="F7" s="2" t="s">
        <v>20</v>
      </c>
      <c r="G7" s="3">
        <v>45139</v>
      </c>
      <c r="H7" s="3">
        <v>45231</v>
      </c>
      <c r="I7" s="4">
        <f t="shared" si="0"/>
        <v>92</v>
      </c>
      <c r="J7" s="5">
        <v>5949337</v>
      </c>
      <c r="K7" s="5">
        <v>9012834</v>
      </c>
      <c r="L7" s="2" t="s">
        <v>22</v>
      </c>
      <c r="M7" s="2" t="s">
        <v>136</v>
      </c>
    </row>
    <row r="8" spans="1:13" x14ac:dyDescent="0.3">
      <c r="A8" s="2" t="s">
        <v>84</v>
      </c>
      <c r="B8" s="2" t="s">
        <v>142</v>
      </c>
      <c r="C8" s="2" t="s">
        <v>19</v>
      </c>
      <c r="D8" s="2" t="s">
        <v>15</v>
      </c>
      <c r="E8" s="2" t="s">
        <v>33</v>
      </c>
      <c r="F8" s="2" t="s">
        <v>14</v>
      </c>
      <c r="G8" s="3">
        <v>44896</v>
      </c>
      <c r="H8" s="3">
        <v>44986</v>
      </c>
      <c r="I8" s="4">
        <f t="shared" si="0"/>
        <v>90</v>
      </c>
      <c r="J8" s="5">
        <v>4646988</v>
      </c>
      <c r="K8" s="5">
        <v>9006076</v>
      </c>
      <c r="L8" s="2" t="s">
        <v>26</v>
      </c>
      <c r="M8" s="2" t="s">
        <v>135</v>
      </c>
    </row>
    <row r="9" spans="1:13" x14ac:dyDescent="0.3">
      <c r="A9" s="2" t="s">
        <v>98</v>
      </c>
      <c r="B9" s="2" t="s">
        <v>139</v>
      </c>
      <c r="C9" s="2" t="s">
        <v>19</v>
      </c>
      <c r="D9" s="2" t="s">
        <v>15</v>
      </c>
      <c r="E9" s="2" t="s">
        <v>16</v>
      </c>
      <c r="F9" s="2" t="s">
        <v>14</v>
      </c>
      <c r="G9" s="3">
        <v>45231</v>
      </c>
      <c r="H9" s="3">
        <v>45323</v>
      </c>
      <c r="I9" s="4">
        <f t="shared" si="0"/>
        <v>92</v>
      </c>
      <c r="J9" s="5">
        <v>5156291</v>
      </c>
      <c r="K9" s="5">
        <v>8519274</v>
      </c>
      <c r="L9" s="2" t="s">
        <v>26</v>
      </c>
      <c r="M9" s="2" t="s">
        <v>137</v>
      </c>
    </row>
    <row r="10" spans="1:13" x14ac:dyDescent="0.3">
      <c r="A10" s="2" t="s">
        <v>56</v>
      </c>
      <c r="B10" s="2" t="s">
        <v>139</v>
      </c>
      <c r="C10" s="2" t="s">
        <v>49</v>
      </c>
      <c r="D10" s="2" t="s">
        <v>15</v>
      </c>
      <c r="E10" s="2" t="s">
        <v>37</v>
      </c>
      <c r="F10" s="2" t="s">
        <v>14</v>
      </c>
      <c r="G10" s="3">
        <v>44501</v>
      </c>
      <c r="H10" s="3">
        <v>44621</v>
      </c>
      <c r="I10" s="4">
        <f t="shared" si="0"/>
        <v>120</v>
      </c>
      <c r="J10" s="5">
        <v>2548471</v>
      </c>
      <c r="K10" s="5">
        <v>9025609</v>
      </c>
      <c r="L10" s="2" t="s">
        <v>22</v>
      </c>
      <c r="M10" s="2" t="s">
        <v>137</v>
      </c>
    </row>
    <row r="11" spans="1:13" x14ac:dyDescent="0.3">
      <c r="A11" s="2" t="s">
        <v>57</v>
      </c>
      <c r="B11" s="2" t="s">
        <v>142</v>
      </c>
      <c r="C11" s="2" t="s">
        <v>31</v>
      </c>
      <c r="D11" s="2" t="s">
        <v>15</v>
      </c>
      <c r="E11" s="2" t="s">
        <v>16</v>
      </c>
      <c r="F11" s="2" t="s">
        <v>28</v>
      </c>
      <c r="G11" s="3">
        <v>44531</v>
      </c>
      <c r="H11" s="3">
        <v>44621</v>
      </c>
      <c r="I11" s="4">
        <f t="shared" si="0"/>
        <v>90</v>
      </c>
      <c r="J11" s="5">
        <v>5869643</v>
      </c>
      <c r="K11" s="5">
        <v>8802862</v>
      </c>
      <c r="L11" s="2" t="s">
        <v>26</v>
      </c>
      <c r="M11" s="2" t="s">
        <v>135</v>
      </c>
    </row>
    <row r="12" spans="1:13" x14ac:dyDescent="0.3">
      <c r="A12" s="2" t="s">
        <v>52</v>
      </c>
      <c r="B12" s="2" t="s">
        <v>141</v>
      </c>
      <c r="C12" s="2" t="s">
        <v>31</v>
      </c>
      <c r="D12" s="2" t="s">
        <v>15</v>
      </c>
      <c r="E12" s="2" t="s">
        <v>16</v>
      </c>
      <c r="F12" s="2" t="s">
        <v>40</v>
      </c>
      <c r="G12" s="3">
        <v>44409</v>
      </c>
      <c r="H12" s="3">
        <v>44501</v>
      </c>
      <c r="I12" s="4">
        <f t="shared" si="0"/>
        <v>92</v>
      </c>
      <c r="J12" s="5">
        <v>4413449</v>
      </c>
      <c r="K12" s="5">
        <v>8547257</v>
      </c>
      <c r="L12" s="2" t="s">
        <v>26</v>
      </c>
      <c r="M12" s="2" t="s">
        <v>136</v>
      </c>
    </row>
    <row r="13" spans="1:13" x14ac:dyDescent="0.3">
      <c r="A13" s="2" t="s">
        <v>76</v>
      </c>
      <c r="B13" s="2" t="s">
        <v>142</v>
      </c>
      <c r="C13" s="2" t="s">
        <v>39</v>
      </c>
      <c r="D13" s="2" t="s">
        <v>15</v>
      </c>
      <c r="E13" s="2" t="s">
        <v>37</v>
      </c>
      <c r="F13" s="2" t="s">
        <v>20</v>
      </c>
      <c r="G13" s="3">
        <v>44805</v>
      </c>
      <c r="H13" s="3">
        <v>44896</v>
      </c>
      <c r="I13" s="4">
        <f t="shared" si="0"/>
        <v>91</v>
      </c>
      <c r="J13" s="5">
        <v>2745999</v>
      </c>
      <c r="K13" s="5">
        <v>8567877</v>
      </c>
      <c r="L13" s="2" t="s">
        <v>22</v>
      </c>
      <c r="M13" s="2" t="s">
        <v>136</v>
      </c>
    </row>
    <row r="14" spans="1:13" x14ac:dyDescent="0.3">
      <c r="A14" s="2" t="s">
        <v>53</v>
      </c>
      <c r="B14" s="2" t="s">
        <v>139</v>
      </c>
      <c r="C14" s="2" t="s">
        <v>39</v>
      </c>
      <c r="D14" s="2" t="s">
        <v>15</v>
      </c>
      <c r="E14" s="2" t="s">
        <v>16</v>
      </c>
      <c r="F14" s="2" t="s">
        <v>40</v>
      </c>
      <c r="G14" s="3">
        <v>44440</v>
      </c>
      <c r="H14" s="3">
        <v>44531</v>
      </c>
      <c r="I14" s="4">
        <f t="shared" si="0"/>
        <v>91</v>
      </c>
      <c r="J14" s="5">
        <v>3440225</v>
      </c>
      <c r="K14" s="5">
        <v>8761979</v>
      </c>
      <c r="L14" s="2" t="s">
        <v>17</v>
      </c>
      <c r="M14" s="2" t="s">
        <v>135</v>
      </c>
    </row>
    <row r="15" spans="1:13" x14ac:dyDescent="0.3">
      <c r="A15" s="2" t="s">
        <v>82</v>
      </c>
      <c r="B15" s="2" t="s">
        <v>139</v>
      </c>
      <c r="C15" s="2" t="s">
        <v>24</v>
      </c>
      <c r="D15" s="2" t="s">
        <v>15</v>
      </c>
      <c r="E15" s="2" t="s">
        <v>37</v>
      </c>
      <c r="F15" s="2" t="s">
        <v>20</v>
      </c>
      <c r="G15" s="3">
        <v>44866</v>
      </c>
      <c r="H15" s="3">
        <v>44986</v>
      </c>
      <c r="I15" s="4">
        <f t="shared" si="0"/>
        <v>120</v>
      </c>
      <c r="J15" s="5">
        <v>5072095</v>
      </c>
      <c r="K15" s="5">
        <v>8665889</v>
      </c>
      <c r="L15" s="2" t="s">
        <v>42</v>
      </c>
      <c r="M15" s="2" t="s">
        <v>136</v>
      </c>
    </row>
    <row r="16" spans="1:13" x14ac:dyDescent="0.3">
      <c r="A16" s="2" t="s">
        <v>71</v>
      </c>
      <c r="B16" s="2" t="s">
        <v>142</v>
      </c>
      <c r="C16" s="2" t="s">
        <v>13</v>
      </c>
      <c r="D16" s="2" t="s">
        <v>15</v>
      </c>
      <c r="E16" s="2" t="s">
        <v>33</v>
      </c>
      <c r="F16" s="2" t="s">
        <v>14</v>
      </c>
      <c r="G16" s="3">
        <v>44743</v>
      </c>
      <c r="H16" s="3">
        <v>44835</v>
      </c>
      <c r="I16" s="4">
        <f t="shared" si="0"/>
        <v>92</v>
      </c>
      <c r="J16" s="5">
        <v>5859707</v>
      </c>
      <c r="K16" s="5">
        <v>8697391</v>
      </c>
      <c r="L16" s="2" t="s">
        <v>17</v>
      </c>
      <c r="M16" s="2" t="s">
        <v>136</v>
      </c>
    </row>
    <row r="17" spans="1:13" x14ac:dyDescent="0.3">
      <c r="A17" s="2" t="s">
        <v>128</v>
      </c>
      <c r="B17" s="2" t="s">
        <v>142</v>
      </c>
      <c r="C17" s="2" t="s">
        <v>13</v>
      </c>
      <c r="D17" s="2" t="s">
        <v>15</v>
      </c>
      <c r="E17" s="2" t="s">
        <v>33</v>
      </c>
      <c r="F17" s="2" t="s">
        <v>20</v>
      </c>
      <c r="G17" s="3">
        <v>45870</v>
      </c>
      <c r="H17" s="3">
        <v>45962</v>
      </c>
      <c r="I17" s="4">
        <f t="shared" si="0"/>
        <v>92</v>
      </c>
      <c r="J17" s="5">
        <v>4908311</v>
      </c>
      <c r="K17" s="5">
        <v>9069817</v>
      </c>
      <c r="L17" s="2" t="s">
        <v>17</v>
      </c>
      <c r="M17" s="2" t="s">
        <v>135</v>
      </c>
    </row>
    <row r="18" spans="1:13" x14ac:dyDescent="0.3">
      <c r="A18" s="2" t="s">
        <v>12</v>
      </c>
      <c r="B18" s="2" t="s">
        <v>139</v>
      </c>
      <c r="C18" s="2" t="s">
        <v>13</v>
      </c>
      <c r="D18" s="2" t="s">
        <v>15</v>
      </c>
      <c r="E18" s="2" t="s">
        <v>16</v>
      </c>
      <c r="F18" s="2" t="s">
        <v>14</v>
      </c>
      <c r="G18" s="3">
        <v>44228</v>
      </c>
      <c r="H18" s="3">
        <v>44348</v>
      </c>
      <c r="I18" s="4">
        <f t="shared" si="0"/>
        <v>120</v>
      </c>
      <c r="J18" s="5">
        <v>3648615</v>
      </c>
      <c r="K18" s="5">
        <v>8443980</v>
      </c>
      <c r="L18" s="2" t="s">
        <v>17</v>
      </c>
      <c r="M18" s="2" t="s">
        <v>136</v>
      </c>
    </row>
    <row r="19" spans="1:13" x14ac:dyDescent="0.3">
      <c r="A19" s="2" t="s">
        <v>43</v>
      </c>
      <c r="B19" s="2" t="s">
        <v>139</v>
      </c>
      <c r="C19" s="2" t="s">
        <v>13</v>
      </c>
      <c r="D19" s="2" t="s">
        <v>15</v>
      </c>
      <c r="E19" s="2" t="s">
        <v>16</v>
      </c>
      <c r="F19" s="2" t="s">
        <v>40</v>
      </c>
      <c r="G19" s="3">
        <v>44317</v>
      </c>
      <c r="H19" s="3">
        <v>44409</v>
      </c>
      <c r="I19" s="4">
        <f t="shared" si="0"/>
        <v>92</v>
      </c>
      <c r="J19" s="5">
        <v>3508173</v>
      </c>
      <c r="K19" s="5">
        <v>8762992</v>
      </c>
      <c r="L19" s="2" t="s">
        <v>42</v>
      </c>
      <c r="M19" s="2" t="s">
        <v>137</v>
      </c>
    </row>
    <row r="20" spans="1:13" x14ac:dyDescent="0.3">
      <c r="A20" s="2" t="s">
        <v>44</v>
      </c>
      <c r="B20" s="2" t="s">
        <v>141</v>
      </c>
      <c r="C20" s="2" t="s">
        <v>45</v>
      </c>
      <c r="D20" s="2" t="s">
        <v>21</v>
      </c>
      <c r="E20" s="2" t="s">
        <v>33</v>
      </c>
      <c r="F20" s="2" t="s">
        <v>20</v>
      </c>
      <c r="G20" s="3">
        <v>44317</v>
      </c>
      <c r="H20" s="3">
        <v>44409</v>
      </c>
      <c r="I20" s="4">
        <f t="shared" si="0"/>
        <v>92</v>
      </c>
      <c r="J20" s="5">
        <v>2534102</v>
      </c>
      <c r="K20" s="5">
        <v>9072551</v>
      </c>
      <c r="L20" s="2" t="s">
        <v>17</v>
      </c>
      <c r="M20" s="2" t="s">
        <v>135</v>
      </c>
    </row>
    <row r="21" spans="1:13" x14ac:dyDescent="0.3">
      <c r="A21" s="2" t="s">
        <v>123</v>
      </c>
      <c r="B21" s="2" t="s">
        <v>142</v>
      </c>
      <c r="C21" s="2" t="s">
        <v>19</v>
      </c>
      <c r="D21" s="2" t="s">
        <v>21</v>
      </c>
      <c r="E21" s="2" t="s">
        <v>33</v>
      </c>
      <c r="F21" s="2" t="s">
        <v>20</v>
      </c>
      <c r="G21" s="3">
        <v>45809</v>
      </c>
      <c r="H21" s="3">
        <v>45901</v>
      </c>
      <c r="I21" s="4">
        <f t="shared" si="0"/>
        <v>92</v>
      </c>
      <c r="J21" s="5">
        <v>2681420</v>
      </c>
      <c r="K21" s="5">
        <v>9089277</v>
      </c>
      <c r="L21" s="2" t="s">
        <v>26</v>
      </c>
      <c r="M21" s="2" t="s">
        <v>135</v>
      </c>
    </row>
    <row r="22" spans="1:13" x14ac:dyDescent="0.3">
      <c r="A22" s="2" t="s">
        <v>18</v>
      </c>
      <c r="B22" s="2" t="s">
        <v>139</v>
      </c>
      <c r="C22" s="2" t="s">
        <v>19</v>
      </c>
      <c r="D22" s="2" t="s">
        <v>21</v>
      </c>
      <c r="E22" s="2" t="s">
        <v>16</v>
      </c>
      <c r="F22" s="2" t="s">
        <v>20</v>
      </c>
      <c r="G22" s="3">
        <v>44256</v>
      </c>
      <c r="H22" s="3">
        <v>44348</v>
      </c>
      <c r="I22" s="4">
        <f t="shared" si="0"/>
        <v>92</v>
      </c>
      <c r="J22" s="5">
        <v>4018835</v>
      </c>
      <c r="K22" s="5">
        <v>9012225</v>
      </c>
      <c r="L22" s="2" t="s">
        <v>22</v>
      </c>
      <c r="M22" s="2" t="s">
        <v>135</v>
      </c>
    </row>
    <row r="23" spans="1:13" ht="11.5" customHeight="1" x14ac:dyDescent="0.3">
      <c r="A23" s="2" t="s">
        <v>69</v>
      </c>
      <c r="B23" s="2" t="s">
        <v>139</v>
      </c>
      <c r="C23" s="2" t="s">
        <v>19</v>
      </c>
      <c r="D23" s="2" t="s">
        <v>21</v>
      </c>
      <c r="E23" s="2" t="s">
        <v>33</v>
      </c>
      <c r="F23" s="2" t="s">
        <v>20</v>
      </c>
      <c r="G23" s="3">
        <v>44713</v>
      </c>
      <c r="H23" s="3">
        <v>44805</v>
      </c>
      <c r="I23" s="4">
        <f t="shared" si="0"/>
        <v>92</v>
      </c>
      <c r="J23" s="5">
        <v>5913478</v>
      </c>
      <c r="K23" s="5">
        <v>9096409</v>
      </c>
      <c r="L23" s="2" t="s">
        <v>22</v>
      </c>
      <c r="M23" s="2" t="s">
        <v>134</v>
      </c>
    </row>
    <row r="24" spans="1:13" x14ac:dyDescent="0.3">
      <c r="A24" s="2" t="s">
        <v>100</v>
      </c>
      <c r="B24" s="2" t="s">
        <v>140</v>
      </c>
      <c r="C24" s="2" t="s">
        <v>19</v>
      </c>
      <c r="D24" s="2" t="s">
        <v>21</v>
      </c>
      <c r="E24" s="2" t="s">
        <v>37</v>
      </c>
      <c r="F24" s="2" t="s">
        <v>14</v>
      </c>
      <c r="G24" s="3">
        <v>45231</v>
      </c>
      <c r="H24" s="3">
        <v>45323</v>
      </c>
      <c r="I24" s="4">
        <f t="shared" si="0"/>
        <v>92</v>
      </c>
      <c r="J24" s="5">
        <v>4569504</v>
      </c>
      <c r="K24" s="5">
        <v>8678737</v>
      </c>
      <c r="L24" s="2" t="s">
        <v>17</v>
      </c>
      <c r="M24" s="2" t="s">
        <v>136</v>
      </c>
    </row>
    <row r="25" spans="1:13" x14ac:dyDescent="0.3">
      <c r="A25" s="2" t="s">
        <v>119</v>
      </c>
      <c r="B25" s="2" t="s">
        <v>140</v>
      </c>
      <c r="C25" s="2" t="s">
        <v>19</v>
      </c>
      <c r="D25" s="2" t="s">
        <v>21</v>
      </c>
      <c r="E25" s="2" t="s">
        <v>16</v>
      </c>
      <c r="F25" s="2" t="s">
        <v>20</v>
      </c>
      <c r="G25" s="3">
        <v>45658</v>
      </c>
      <c r="H25" s="3">
        <v>45778</v>
      </c>
      <c r="I25" s="4">
        <f t="shared" si="0"/>
        <v>120</v>
      </c>
      <c r="J25" s="5">
        <v>4286305</v>
      </c>
      <c r="K25" s="5">
        <v>8685423</v>
      </c>
      <c r="L25" s="2" t="s">
        <v>42</v>
      </c>
      <c r="M25" s="2" t="s">
        <v>136</v>
      </c>
    </row>
    <row r="26" spans="1:13" x14ac:dyDescent="0.3">
      <c r="A26" s="2" t="s">
        <v>99</v>
      </c>
      <c r="B26" s="2" t="s">
        <v>142</v>
      </c>
      <c r="C26" s="2" t="s">
        <v>49</v>
      </c>
      <c r="D26" s="2" t="s">
        <v>21</v>
      </c>
      <c r="E26" s="2" t="s">
        <v>37</v>
      </c>
      <c r="F26" s="2" t="s">
        <v>14</v>
      </c>
      <c r="G26" s="3">
        <v>45231</v>
      </c>
      <c r="H26" s="3">
        <v>45323</v>
      </c>
      <c r="I26" s="4">
        <f t="shared" si="0"/>
        <v>92</v>
      </c>
      <c r="J26" s="5">
        <v>3014053</v>
      </c>
      <c r="K26" s="5">
        <v>8904627</v>
      </c>
      <c r="L26" s="2" t="s">
        <v>26</v>
      </c>
      <c r="M26" s="2" t="s">
        <v>135</v>
      </c>
    </row>
    <row r="27" spans="1:13" x14ac:dyDescent="0.3">
      <c r="A27" s="2" t="s">
        <v>108</v>
      </c>
      <c r="B27" s="2" t="s">
        <v>139</v>
      </c>
      <c r="C27" s="2" t="s">
        <v>49</v>
      </c>
      <c r="D27" s="2" t="s">
        <v>21</v>
      </c>
      <c r="E27" s="2" t="s">
        <v>16</v>
      </c>
      <c r="F27" s="2" t="s">
        <v>14</v>
      </c>
      <c r="G27" s="3">
        <v>45536</v>
      </c>
      <c r="H27" s="3">
        <v>45627</v>
      </c>
      <c r="I27" s="4">
        <f t="shared" si="0"/>
        <v>91</v>
      </c>
      <c r="J27" s="5">
        <v>2418301</v>
      </c>
      <c r="K27" s="5">
        <v>9138940</v>
      </c>
      <c r="L27" s="2" t="s">
        <v>22</v>
      </c>
      <c r="M27" s="2" t="s">
        <v>136</v>
      </c>
    </row>
    <row r="28" spans="1:13" x14ac:dyDescent="0.3">
      <c r="A28" s="2" t="s">
        <v>48</v>
      </c>
      <c r="B28" s="2" t="s">
        <v>140</v>
      </c>
      <c r="C28" s="2" t="s">
        <v>49</v>
      </c>
      <c r="D28" s="2" t="s">
        <v>21</v>
      </c>
      <c r="E28" s="2" t="s">
        <v>16</v>
      </c>
      <c r="F28" s="2" t="s">
        <v>14</v>
      </c>
      <c r="G28" s="3">
        <v>44348</v>
      </c>
      <c r="H28" s="3">
        <v>44440</v>
      </c>
      <c r="I28" s="4">
        <f t="shared" si="0"/>
        <v>92</v>
      </c>
      <c r="J28" s="5">
        <v>4170710</v>
      </c>
      <c r="K28" s="5">
        <v>8848636</v>
      </c>
      <c r="L28" s="2" t="s">
        <v>22</v>
      </c>
      <c r="M28" s="2" t="s">
        <v>137</v>
      </c>
    </row>
    <row r="29" spans="1:13" x14ac:dyDescent="0.3">
      <c r="A29" s="2" t="s">
        <v>102</v>
      </c>
      <c r="B29" s="2" t="s">
        <v>141</v>
      </c>
      <c r="C29" s="2" t="s">
        <v>49</v>
      </c>
      <c r="D29" s="2" t="s">
        <v>21</v>
      </c>
      <c r="E29" s="2" t="s">
        <v>33</v>
      </c>
      <c r="F29" s="2" t="s">
        <v>28</v>
      </c>
      <c r="G29" s="3">
        <v>45323</v>
      </c>
      <c r="H29" s="3">
        <v>45413</v>
      </c>
      <c r="I29" s="4">
        <f t="shared" si="0"/>
        <v>90</v>
      </c>
      <c r="J29" s="5">
        <v>4603061</v>
      </c>
      <c r="K29" s="5">
        <v>8654153</v>
      </c>
      <c r="L29" s="2" t="s">
        <v>26</v>
      </c>
      <c r="M29" s="2" t="s">
        <v>135</v>
      </c>
    </row>
    <row r="30" spans="1:13" x14ac:dyDescent="0.3">
      <c r="A30" s="2" t="s">
        <v>132</v>
      </c>
      <c r="B30" s="2" t="s">
        <v>142</v>
      </c>
      <c r="C30" s="2" t="s">
        <v>31</v>
      </c>
      <c r="D30" s="2" t="s">
        <v>21</v>
      </c>
      <c r="E30" s="2" t="s">
        <v>16</v>
      </c>
      <c r="F30" s="2" t="s">
        <v>28</v>
      </c>
      <c r="G30" s="3">
        <v>45962</v>
      </c>
      <c r="H30" s="3">
        <v>46082</v>
      </c>
      <c r="I30" s="4">
        <f t="shared" si="0"/>
        <v>120</v>
      </c>
      <c r="J30" s="5">
        <v>4606575</v>
      </c>
      <c r="K30" s="5">
        <v>8658343</v>
      </c>
      <c r="L30" s="2" t="s">
        <v>17</v>
      </c>
      <c r="M30" s="2" t="s">
        <v>136</v>
      </c>
    </row>
    <row r="31" spans="1:13" x14ac:dyDescent="0.3">
      <c r="A31" s="2" t="s">
        <v>51</v>
      </c>
      <c r="B31" s="2" t="s">
        <v>140</v>
      </c>
      <c r="C31" s="2" t="s">
        <v>31</v>
      </c>
      <c r="D31" s="2" t="s">
        <v>21</v>
      </c>
      <c r="E31" s="2" t="s">
        <v>33</v>
      </c>
      <c r="F31" s="2" t="s">
        <v>40</v>
      </c>
      <c r="G31" s="3">
        <v>44378</v>
      </c>
      <c r="H31" s="3">
        <v>44470</v>
      </c>
      <c r="I31" s="4">
        <f t="shared" si="0"/>
        <v>92</v>
      </c>
      <c r="J31" s="5">
        <v>3478794</v>
      </c>
      <c r="K31" s="5">
        <v>8846264</v>
      </c>
      <c r="L31" s="2" t="s">
        <v>22</v>
      </c>
      <c r="M31" s="2" t="s">
        <v>135</v>
      </c>
    </row>
    <row r="32" spans="1:13" x14ac:dyDescent="0.3">
      <c r="A32" s="2" t="s">
        <v>30</v>
      </c>
      <c r="B32" s="2" t="s">
        <v>141</v>
      </c>
      <c r="C32" s="2" t="s">
        <v>31</v>
      </c>
      <c r="D32" s="2" t="s">
        <v>21</v>
      </c>
      <c r="E32" s="2" t="s">
        <v>16</v>
      </c>
      <c r="F32" s="2" t="s">
        <v>28</v>
      </c>
      <c r="G32" s="3">
        <v>44256</v>
      </c>
      <c r="H32" s="3">
        <v>44348</v>
      </c>
      <c r="I32" s="4">
        <f t="shared" si="0"/>
        <v>92</v>
      </c>
      <c r="J32" s="5">
        <v>5785601</v>
      </c>
      <c r="K32" s="5">
        <v>8630148</v>
      </c>
      <c r="L32" s="2" t="s">
        <v>26</v>
      </c>
      <c r="M32" s="2" t="s">
        <v>134</v>
      </c>
    </row>
    <row r="33" spans="1:13" x14ac:dyDescent="0.3">
      <c r="A33" s="2" t="s">
        <v>77</v>
      </c>
      <c r="B33" s="2" t="s">
        <v>141</v>
      </c>
      <c r="C33" s="2" t="s">
        <v>31</v>
      </c>
      <c r="D33" s="2" t="s">
        <v>21</v>
      </c>
      <c r="E33" s="2" t="s">
        <v>33</v>
      </c>
      <c r="F33" s="2" t="s">
        <v>20</v>
      </c>
      <c r="G33" s="3">
        <v>44805</v>
      </c>
      <c r="H33" s="3">
        <v>44896</v>
      </c>
      <c r="I33" s="4">
        <f t="shared" si="0"/>
        <v>91</v>
      </c>
      <c r="J33" s="5">
        <v>3787473</v>
      </c>
      <c r="K33" s="5">
        <v>8726782</v>
      </c>
      <c r="L33" s="2" t="s">
        <v>22</v>
      </c>
      <c r="M33" s="2" t="s">
        <v>134</v>
      </c>
    </row>
    <row r="34" spans="1:13" x14ac:dyDescent="0.3">
      <c r="A34" s="2" t="s">
        <v>72</v>
      </c>
      <c r="B34" s="2" t="s">
        <v>142</v>
      </c>
      <c r="C34" s="2" t="s">
        <v>39</v>
      </c>
      <c r="D34" s="2" t="s">
        <v>21</v>
      </c>
      <c r="E34" s="2" t="s">
        <v>16</v>
      </c>
      <c r="F34" s="2" t="s">
        <v>20</v>
      </c>
      <c r="G34" s="3">
        <v>44743</v>
      </c>
      <c r="H34" s="3">
        <v>44835</v>
      </c>
      <c r="I34" s="4">
        <f t="shared" ref="I34:I65" si="1">H34-G34</f>
        <v>92</v>
      </c>
      <c r="J34" s="5">
        <v>4172827</v>
      </c>
      <c r="K34" s="5">
        <v>8942009</v>
      </c>
      <c r="L34" s="2" t="s">
        <v>17</v>
      </c>
      <c r="M34" s="2" t="s">
        <v>134</v>
      </c>
    </row>
    <row r="35" spans="1:13" x14ac:dyDescent="0.3">
      <c r="A35" s="2" t="s">
        <v>103</v>
      </c>
      <c r="B35" s="2" t="s">
        <v>140</v>
      </c>
      <c r="C35" s="2" t="s">
        <v>39</v>
      </c>
      <c r="D35" s="2" t="s">
        <v>21</v>
      </c>
      <c r="E35" s="2" t="s">
        <v>16</v>
      </c>
      <c r="F35" s="2" t="s">
        <v>40</v>
      </c>
      <c r="G35" s="3">
        <v>45352</v>
      </c>
      <c r="H35" s="3">
        <v>45444</v>
      </c>
      <c r="I35" s="4">
        <f t="shared" si="1"/>
        <v>92</v>
      </c>
      <c r="J35" s="5">
        <v>4505046</v>
      </c>
      <c r="K35" s="5">
        <v>9026066</v>
      </c>
      <c r="L35" s="2" t="s">
        <v>22</v>
      </c>
      <c r="M35" s="2" t="s">
        <v>136</v>
      </c>
    </row>
    <row r="36" spans="1:13" x14ac:dyDescent="0.3">
      <c r="A36" s="2" t="s">
        <v>36</v>
      </c>
      <c r="B36" s="2" t="s">
        <v>142</v>
      </c>
      <c r="C36" s="2" t="s">
        <v>24</v>
      </c>
      <c r="D36" s="2" t="s">
        <v>21</v>
      </c>
      <c r="E36" s="2" t="s">
        <v>37</v>
      </c>
      <c r="F36" s="2" t="s">
        <v>14</v>
      </c>
      <c r="G36" s="3">
        <v>44317</v>
      </c>
      <c r="H36" s="3">
        <v>44409</v>
      </c>
      <c r="I36" s="4">
        <f t="shared" si="1"/>
        <v>92</v>
      </c>
      <c r="J36" s="5">
        <v>3442649</v>
      </c>
      <c r="K36" s="5">
        <v>9070797</v>
      </c>
      <c r="L36" s="2" t="s">
        <v>26</v>
      </c>
      <c r="M36" s="2" t="s">
        <v>135</v>
      </c>
    </row>
    <row r="37" spans="1:13" x14ac:dyDescent="0.3">
      <c r="A37" s="2" t="s">
        <v>70</v>
      </c>
      <c r="B37" s="2" t="s">
        <v>139</v>
      </c>
      <c r="C37" s="2" t="s">
        <v>13</v>
      </c>
      <c r="D37" s="2" t="s">
        <v>21</v>
      </c>
      <c r="E37" s="2" t="s">
        <v>37</v>
      </c>
      <c r="F37" s="2" t="s">
        <v>40</v>
      </c>
      <c r="G37" s="3">
        <v>44743</v>
      </c>
      <c r="H37" s="3">
        <v>44835</v>
      </c>
      <c r="I37" s="4">
        <f t="shared" si="1"/>
        <v>92</v>
      </c>
      <c r="J37" s="5">
        <v>2631019</v>
      </c>
      <c r="K37" s="5">
        <v>8584025</v>
      </c>
      <c r="L37" s="2" t="s">
        <v>26</v>
      </c>
      <c r="M37" s="2" t="s">
        <v>135</v>
      </c>
    </row>
    <row r="38" spans="1:13" x14ac:dyDescent="0.3">
      <c r="A38" s="2" t="s">
        <v>63</v>
      </c>
      <c r="B38" s="2" t="s">
        <v>140</v>
      </c>
      <c r="C38" s="2" t="s">
        <v>13</v>
      </c>
      <c r="D38" s="2" t="s">
        <v>21</v>
      </c>
      <c r="E38" s="2" t="s">
        <v>37</v>
      </c>
      <c r="F38" s="2" t="s">
        <v>40</v>
      </c>
      <c r="G38" s="3">
        <v>44652</v>
      </c>
      <c r="H38" s="3">
        <v>44743</v>
      </c>
      <c r="I38" s="4">
        <f t="shared" si="1"/>
        <v>91</v>
      </c>
      <c r="J38" s="5">
        <v>5044306</v>
      </c>
      <c r="K38" s="5">
        <v>8752182</v>
      </c>
      <c r="L38" s="2" t="s">
        <v>26</v>
      </c>
      <c r="M38" s="2" t="s">
        <v>134</v>
      </c>
    </row>
    <row r="39" spans="1:13" x14ac:dyDescent="0.3">
      <c r="A39" s="2" t="s">
        <v>64</v>
      </c>
      <c r="B39" s="2" t="s">
        <v>140</v>
      </c>
      <c r="C39" s="2" t="s">
        <v>13</v>
      </c>
      <c r="D39" s="2" t="s">
        <v>21</v>
      </c>
      <c r="E39" s="2" t="s">
        <v>33</v>
      </c>
      <c r="F39" s="2" t="s">
        <v>14</v>
      </c>
      <c r="G39" s="3">
        <v>44652</v>
      </c>
      <c r="H39" s="3">
        <v>44743</v>
      </c>
      <c r="I39" s="4">
        <f t="shared" si="1"/>
        <v>91</v>
      </c>
      <c r="J39" s="5">
        <v>2931685</v>
      </c>
      <c r="K39" s="5">
        <v>8971678</v>
      </c>
      <c r="L39" s="2" t="s">
        <v>42</v>
      </c>
      <c r="M39" s="2" t="s">
        <v>134</v>
      </c>
    </row>
    <row r="40" spans="1:13" x14ac:dyDescent="0.3">
      <c r="A40" s="2" t="s">
        <v>114</v>
      </c>
      <c r="B40" s="2" t="s">
        <v>140</v>
      </c>
      <c r="C40" s="2" t="s">
        <v>45</v>
      </c>
      <c r="D40" s="2" t="s">
        <v>29</v>
      </c>
      <c r="E40" s="2" t="s">
        <v>37</v>
      </c>
      <c r="F40" s="2" t="s">
        <v>28</v>
      </c>
      <c r="G40" s="3">
        <v>45597</v>
      </c>
      <c r="H40" s="3">
        <v>45717</v>
      </c>
      <c r="I40" s="4">
        <f t="shared" si="1"/>
        <v>120</v>
      </c>
      <c r="J40" s="5">
        <v>2781408</v>
      </c>
      <c r="K40" s="5">
        <v>9073188</v>
      </c>
      <c r="L40" s="2" t="s">
        <v>22</v>
      </c>
      <c r="M40" s="2" t="s">
        <v>137</v>
      </c>
    </row>
    <row r="41" spans="1:13" x14ac:dyDescent="0.3">
      <c r="A41" s="2" t="s">
        <v>59</v>
      </c>
      <c r="B41" s="2" t="s">
        <v>139</v>
      </c>
      <c r="C41" s="2" t="s">
        <v>19</v>
      </c>
      <c r="D41" s="2" t="s">
        <v>29</v>
      </c>
      <c r="E41" s="2" t="s">
        <v>37</v>
      </c>
      <c r="F41" s="2" t="s">
        <v>20</v>
      </c>
      <c r="G41" s="3">
        <v>44593</v>
      </c>
      <c r="H41" s="3">
        <v>44713</v>
      </c>
      <c r="I41" s="4">
        <f t="shared" si="1"/>
        <v>120</v>
      </c>
      <c r="J41" s="5">
        <v>3814857</v>
      </c>
      <c r="K41" s="5">
        <v>8529903</v>
      </c>
      <c r="L41" s="2" t="s">
        <v>22</v>
      </c>
      <c r="M41" s="2" t="s">
        <v>137</v>
      </c>
    </row>
    <row r="42" spans="1:13" x14ac:dyDescent="0.3">
      <c r="A42" s="2" t="s">
        <v>90</v>
      </c>
      <c r="B42" s="2" t="s">
        <v>139</v>
      </c>
      <c r="C42" s="2" t="s">
        <v>19</v>
      </c>
      <c r="D42" s="2" t="s">
        <v>29</v>
      </c>
      <c r="E42" s="2" t="s">
        <v>16</v>
      </c>
      <c r="F42" s="2" t="s">
        <v>14</v>
      </c>
      <c r="G42" s="3">
        <v>45108</v>
      </c>
      <c r="H42" s="3">
        <v>45200</v>
      </c>
      <c r="I42" s="4">
        <f t="shared" si="1"/>
        <v>92</v>
      </c>
      <c r="J42" s="5">
        <v>5643858</v>
      </c>
      <c r="K42" s="5">
        <v>8573039</v>
      </c>
      <c r="L42" s="2" t="s">
        <v>22</v>
      </c>
      <c r="M42" s="2" t="s">
        <v>137</v>
      </c>
    </row>
    <row r="43" spans="1:13" x14ac:dyDescent="0.3">
      <c r="A43" s="2" t="s">
        <v>27</v>
      </c>
      <c r="B43" s="2" t="s">
        <v>140</v>
      </c>
      <c r="C43" s="2" t="s">
        <v>19</v>
      </c>
      <c r="D43" s="2" t="s">
        <v>29</v>
      </c>
      <c r="E43" s="2" t="s">
        <v>16</v>
      </c>
      <c r="F43" s="2" t="s">
        <v>28</v>
      </c>
      <c r="G43" s="3">
        <v>44256</v>
      </c>
      <c r="H43" s="3">
        <v>44348</v>
      </c>
      <c r="I43" s="4">
        <f t="shared" si="1"/>
        <v>92</v>
      </c>
      <c r="J43" s="5">
        <v>5285864</v>
      </c>
      <c r="K43" s="5">
        <v>8719006</v>
      </c>
      <c r="L43" s="2" t="s">
        <v>22</v>
      </c>
      <c r="M43" s="2" t="s">
        <v>137</v>
      </c>
    </row>
    <row r="44" spans="1:13" x14ac:dyDescent="0.3">
      <c r="A44" s="2" t="s">
        <v>94</v>
      </c>
      <c r="B44" s="2" t="s">
        <v>139</v>
      </c>
      <c r="C44" s="2" t="s">
        <v>49</v>
      </c>
      <c r="D44" s="2" t="s">
        <v>29</v>
      </c>
      <c r="E44" s="2" t="s">
        <v>16</v>
      </c>
      <c r="F44" s="2" t="s">
        <v>28</v>
      </c>
      <c r="G44" s="3">
        <v>45170</v>
      </c>
      <c r="H44" s="3">
        <v>45261</v>
      </c>
      <c r="I44" s="4">
        <f t="shared" si="1"/>
        <v>91</v>
      </c>
      <c r="J44" s="5">
        <v>2745287</v>
      </c>
      <c r="K44" s="5">
        <v>8957341</v>
      </c>
      <c r="L44" s="2" t="s">
        <v>42</v>
      </c>
      <c r="M44" s="2" t="s">
        <v>135</v>
      </c>
    </row>
    <row r="45" spans="1:13" x14ac:dyDescent="0.3">
      <c r="A45" s="2" t="s">
        <v>101</v>
      </c>
      <c r="B45" s="2" t="s">
        <v>142</v>
      </c>
      <c r="C45" s="2" t="s">
        <v>31</v>
      </c>
      <c r="D45" s="2" t="s">
        <v>29</v>
      </c>
      <c r="E45" s="2" t="s">
        <v>37</v>
      </c>
      <c r="F45" s="2" t="s">
        <v>28</v>
      </c>
      <c r="G45" s="3">
        <v>45261</v>
      </c>
      <c r="H45" s="3">
        <v>45352</v>
      </c>
      <c r="I45" s="4">
        <f t="shared" si="1"/>
        <v>91</v>
      </c>
      <c r="J45" s="5">
        <v>2429395</v>
      </c>
      <c r="K45" s="5">
        <v>8913514</v>
      </c>
      <c r="L45" s="2" t="s">
        <v>17</v>
      </c>
      <c r="M45" s="2" t="s">
        <v>134</v>
      </c>
    </row>
    <row r="46" spans="1:13" x14ac:dyDescent="0.3">
      <c r="A46" s="2" t="s">
        <v>113</v>
      </c>
      <c r="B46" s="2" t="s">
        <v>140</v>
      </c>
      <c r="C46" s="2" t="s">
        <v>39</v>
      </c>
      <c r="D46" s="2" t="s">
        <v>29</v>
      </c>
      <c r="E46" s="2" t="s">
        <v>16</v>
      </c>
      <c r="F46" s="2" t="s">
        <v>14</v>
      </c>
      <c r="G46" s="3">
        <v>45597</v>
      </c>
      <c r="H46" s="3">
        <v>45717</v>
      </c>
      <c r="I46" s="4">
        <f t="shared" si="1"/>
        <v>120</v>
      </c>
      <c r="J46" s="5">
        <v>5732006</v>
      </c>
      <c r="K46" s="5">
        <v>9081480</v>
      </c>
      <c r="L46" s="2" t="s">
        <v>26</v>
      </c>
      <c r="M46" s="2" t="s">
        <v>135</v>
      </c>
    </row>
    <row r="47" spans="1:13" x14ac:dyDescent="0.3">
      <c r="A47" s="2" t="s">
        <v>65</v>
      </c>
      <c r="B47" s="2" t="s">
        <v>141</v>
      </c>
      <c r="C47" s="2" t="s">
        <v>39</v>
      </c>
      <c r="D47" s="2" t="s">
        <v>29</v>
      </c>
      <c r="E47" s="2" t="s">
        <v>33</v>
      </c>
      <c r="F47" s="2" t="s">
        <v>14</v>
      </c>
      <c r="G47" s="3">
        <v>44652</v>
      </c>
      <c r="H47" s="3">
        <v>44743</v>
      </c>
      <c r="I47" s="4">
        <f t="shared" si="1"/>
        <v>91</v>
      </c>
      <c r="J47" s="5">
        <v>3730999</v>
      </c>
      <c r="K47" s="5">
        <v>8715081</v>
      </c>
      <c r="L47" s="2" t="s">
        <v>17</v>
      </c>
      <c r="M47" s="2" t="s">
        <v>134</v>
      </c>
    </row>
    <row r="48" spans="1:13" x14ac:dyDescent="0.3">
      <c r="A48" s="2" t="s">
        <v>112</v>
      </c>
      <c r="B48" s="2" t="s">
        <v>141</v>
      </c>
      <c r="C48" s="2" t="s">
        <v>39</v>
      </c>
      <c r="D48" s="2" t="s">
        <v>29</v>
      </c>
      <c r="E48" s="2" t="s">
        <v>33</v>
      </c>
      <c r="F48" s="2" t="s">
        <v>14</v>
      </c>
      <c r="G48" s="3">
        <v>45597</v>
      </c>
      <c r="H48" s="3">
        <v>45717</v>
      </c>
      <c r="I48" s="4">
        <f t="shared" si="1"/>
        <v>120</v>
      </c>
      <c r="J48" s="5">
        <v>3526630</v>
      </c>
      <c r="K48" s="5">
        <v>9146561</v>
      </c>
      <c r="L48" s="2" t="s">
        <v>26</v>
      </c>
      <c r="M48" s="2" t="s">
        <v>135</v>
      </c>
    </row>
    <row r="49" spans="1:13" x14ac:dyDescent="0.3">
      <c r="A49" s="2" t="s">
        <v>32</v>
      </c>
      <c r="B49" s="2" t="s">
        <v>140</v>
      </c>
      <c r="C49" s="2" t="s">
        <v>24</v>
      </c>
      <c r="D49" s="2" t="s">
        <v>29</v>
      </c>
      <c r="E49" s="2" t="s">
        <v>33</v>
      </c>
      <c r="F49" s="2" t="s">
        <v>20</v>
      </c>
      <c r="G49" s="3">
        <v>44256</v>
      </c>
      <c r="H49" s="3">
        <v>44348</v>
      </c>
      <c r="I49" s="4">
        <f t="shared" si="1"/>
        <v>92</v>
      </c>
      <c r="J49" s="5">
        <v>3326031</v>
      </c>
      <c r="K49" s="5">
        <v>8504224</v>
      </c>
      <c r="L49" s="2" t="s">
        <v>17</v>
      </c>
      <c r="M49" s="2" t="s">
        <v>135</v>
      </c>
    </row>
    <row r="50" spans="1:13" x14ac:dyDescent="0.3">
      <c r="A50" s="2" t="s">
        <v>122</v>
      </c>
      <c r="B50" s="2" t="s">
        <v>140</v>
      </c>
      <c r="C50" s="2" t="s">
        <v>24</v>
      </c>
      <c r="D50" s="2" t="s">
        <v>29</v>
      </c>
      <c r="E50" s="2" t="s">
        <v>37</v>
      </c>
      <c r="F50" s="2" t="s">
        <v>14</v>
      </c>
      <c r="G50" s="3">
        <v>45778</v>
      </c>
      <c r="H50" s="3">
        <v>45870</v>
      </c>
      <c r="I50" s="4">
        <f t="shared" si="1"/>
        <v>92</v>
      </c>
      <c r="J50" s="5">
        <v>3685580</v>
      </c>
      <c r="K50" s="5">
        <v>8890269</v>
      </c>
      <c r="L50" s="2" t="s">
        <v>42</v>
      </c>
      <c r="M50" s="2" t="s">
        <v>136</v>
      </c>
    </row>
    <row r="51" spans="1:13" x14ac:dyDescent="0.3">
      <c r="A51" s="2" t="s">
        <v>67</v>
      </c>
      <c r="B51" s="2" t="s">
        <v>141</v>
      </c>
      <c r="C51" s="2" t="s">
        <v>24</v>
      </c>
      <c r="D51" s="2" t="s">
        <v>29</v>
      </c>
      <c r="E51" s="2" t="s">
        <v>33</v>
      </c>
      <c r="F51" s="2" t="s">
        <v>28</v>
      </c>
      <c r="G51" s="3">
        <v>44713</v>
      </c>
      <c r="H51" s="3">
        <v>44805</v>
      </c>
      <c r="I51" s="4">
        <f t="shared" si="1"/>
        <v>92</v>
      </c>
      <c r="J51" s="5">
        <v>2450782</v>
      </c>
      <c r="K51" s="5">
        <v>8470209</v>
      </c>
      <c r="L51" s="2" t="s">
        <v>42</v>
      </c>
      <c r="M51" s="2" t="s">
        <v>137</v>
      </c>
    </row>
    <row r="52" spans="1:13" x14ac:dyDescent="0.3">
      <c r="A52" s="2" t="s">
        <v>133</v>
      </c>
      <c r="B52" s="2" t="s">
        <v>141</v>
      </c>
      <c r="C52" s="2" t="s">
        <v>24</v>
      </c>
      <c r="D52" s="2" t="s">
        <v>29</v>
      </c>
      <c r="E52" s="2" t="s">
        <v>16</v>
      </c>
      <c r="F52" s="2" t="s">
        <v>20</v>
      </c>
      <c r="G52" s="3">
        <v>45992</v>
      </c>
      <c r="H52" s="3">
        <v>46082</v>
      </c>
      <c r="I52" s="4">
        <f t="shared" si="1"/>
        <v>90</v>
      </c>
      <c r="J52" s="5">
        <v>5054482</v>
      </c>
      <c r="K52" s="5">
        <v>8422578</v>
      </c>
      <c r="L52" s="2" t="s">
        <v>17</v>
      </c>
      <c r="M52" s="2" t="s">
        <v>135</v>
      </c>
    </row>
    <row r="53" spans="1:13" x14ac:dyDescent="0.3">
      <c r="A53" s="2" t="s">
        <v>126</v>
      </c>
      <c r="B53" s="2" t="s">
        <v>141</v>
      </c>
      <c r="C53" s="2" t="s">
        <v>13</v>
      </c>
      <c r="D53" s="2" t="s">
        <v>29</v>
      </c>
      <c r="E53" s="2" t="s">
        <v>16</v>
      </c>
      <c r="F53" s="2" t="s">
        <v>28</v>
      </c>
      <c r="G53" s="3">
        <v>45839</v>
      </c>
      <c r="H53" s="3">
        <v>45931</v>
      </c>
      <c r="I53" s="4">
        <f t="shared" si="1"/>
        <v>92</v>
      </c>
      <c r="J53" s="5">
        <v>5880610</v>
      </c>
      <c r="K53" s="5">
        <v>8626940</v>
      </c>
      <c r="L53" s="2" t="s">
        <v>26</v>
      </c>
      <c r="M53" s="2" t="s">
        <v>137</v>
      </c>
    </row>
    <row r="54" spans="1:13" x14ac:dyDescent="0.3">
      <c r="A54" s="2" t="s">
        <v>89</v>
      </c>
      <c r="B54" s="2" t="s">
        <v>142</v>
      </c>
      <c r="C54" s="2" t="s">
        <v>45</v>
      </c>
      <c r="D54" s="2" t="s">
        <v>41</v>
      </c>
      <c r="E54" s="2" t="s">
        <v>37</v>
      </c>
      <c r="F54" s="2" t="s">
        <v>28</v>
      </c>
      <c r="G54" s="3">
        <v>45108</v>
      </c>
      <c r="H54" s="3">
        <v>45200</v>
      </c>
      <c r="I54" s="4">
        <f t="shared" si="1"/>
        <v>92</v>
      </c>
      <c r="J54" s="5">
        <v>3107456</v>
      </c>
      <c r="K54" s="5">
        <v>9040473</v>
      </c>
      <c r="L54" s="2" t="s">
        <v>22</v>
      </c>
      <c r="M54" s="2" t="s">
        <v>135</v>
      </c>
    </row>
    <row r="55" spans="1:13" x14ac:dyDescent="0.3">
      <c r="A55" s="2" t="s">
        <v>73</v>
      </c>
      <c r="B55" s="2" t="s">
        <v>139</v>
      </c>
      <c r="C55" s="2" t="s">
        <v>45</v>
      </c>
      <c r="D55" s="2" t="s">
        <v>41</v>
      </c>
      <c r="E55" s="2" t="s">
        <v>37</v>
      </c>
      <c r="F55" s="2" t="s">
        <v>28</v>
      </c>
      <c r="G55" s="3">
        <v>44774</v>
      </c>
      <c r="H55" s="3">
        <v>44866</v>
      </c>
      <c r="I55" s="4">
        <f t="shared" si="1"/>
        <v>92</v>
      </c>
      <c r="J55" s="5">
        <v>4249668</v>
      </c>
      <c r="K55" s="5">
        <v>8548973</v>
      </c>
      <c r="L55" s="2" t="s">
        <v>17</v>
      </c>
      <c r="M55" s="2" t="s">
        <v>134</v>
      </c>
    </row>
    <row r="56" spans="1:13" x14ac:dyDescent="0.3">
      <c r="A56" s="2" t="s">
        <v>74</v>
      </c>
      <c r="B56" s="2" t="s">
        <v>140</v>
      </c>
      <c r="C56" s="2" t="s">
        <v>45</v>
      </c>
      <c r="D56" s="2" t="s">
        <v>41</v>
      </c>
      <c r="E56" s="2" t="s">
        <v>33</v>
      </c>
      <c r="F56" s="2" t="s">
        <v>14</v>
      </c>
      <c r="G56" s="3">
        <v>44774</v>
      </c>
      <c r="H56" s="3">
        <v>44866</v>
      </c>
      <c r="I56" s="4">
        <f t="shared" si="1"/>
        <v>92</v>
      </c>
      <c r="J56" s="5">
        <v>3156318</v>
      </c>
      <c r="K56" s="5">
        <v>9111026</v>
      </c>
      <c r="L56" s="2" t="s">
        <v>26</v>
      </c>
      <c r="M56" s="2" t="s">
        <v>135</v>
      </c>
    </row>
    <row r="57" spans="1:13" x14ac:dyDescent="0.3">
      <c r="A57" s="2" t="s">
        <v>96</v>
      </c>
      <c r="B57" s="2" t="s">
        <v>140</v>
      </c>
      <c r="C57" s="2" t="s">
        <v>45</v>
      </c>
      <c r="D57" s="2" t="s">
        <v>41</v>
      </c>
      <c r="E57" s="2" t="s">
        <v>37</v>
      </c>
      <c r="F57" s="2" t="s">
        <v>14</v>
      </c>
      <c r="G57" s="3">
        <v>45170</v>
      </c>
      <c r="H57" s="3">
        <v>45261</v>
      </c>
      <c r="I57" s="4">
        <f t="shared" si="1"/>
        <v>91</v>
      </c>
      <c r="J57" s="5">
        <v>2806512</v>
      </c>
      <c r="K57" s="5">
        <v>9016356</v>
      </c>
      <c r="L57" s="2" t="s">
        <v>17</v>
      </c>
      <c r="M57" s="2" t="s">
        <v>135</v>
      </c>
    </row>
    <row r="58" spans="1:13" x14ac:dyDescent="0.3">
      <c r="A58" s="2" t="s">
        <v>116</v>
      </c>
      <c r="B58" s="2" t="s">
        <v>140</v>
      </c>
      <c r="C58" s="2" t="s">
        <v>45</v>
      </c>
      <c r="D58" s="2" t="s">
        <v>41</v>
      </c>
      <c r="E58" s="2" t="s">
        <v>16</v>
      </c>
      <c r="F58" s="2" t="s">
        <v>20</v>
      </c>
      <c r="G58" s="3">
        <v>45627</v>
      </c>
      <c r="H58" s="3">
        <v>45717</v>
      </c>
      <c r="I58" s="4">
        <f t="shared" si="1"/>
        <v>90</v>
      </c>
      <c r="J58" s="5">
        <v>4434679</v>
      </c>
      <c r="K58" s="5">
        <v>9097786</v>
      </c>
      <c r="L58" s="2" t="s">
        <v>42</v>
      </c>
      <c r="M58" s="2" t="s">
        <v>137</v>
      </c>
    </row>
    <row r="59" spans="1:13" x14ac:dyDescent="0.3">
      <c r="A59" s="2" t="s">
        <v>111</v>
      </c>
      <c r="B59" s="2" t="s">
        <v>141</v>
      </c>
      <c r="C59" s="2" t="s">
        <v>45</v>
      </c>
      <c r="D59" s="2" t="s">
        <v>41</v>
      </c>
      <c r="E59" s="2" t="s">
        <v>37</v>
      </c>
      <c r="F59" s="2" t="s">
        <v>40</v>
      </c>
      <c r="G59" s="3">
        <v>45566</v>
      </c>
      <c r="H59" s="3">
        <v>45658</v>
      </c>
      <c r="I59" s="4">
        <f t="shared" si="1"/>
        <v>92</v>
      </c>
      <c r="J59" s="5">
        <v>5461756</v>
      </c>
      <c r="K59" s="5">
        <v>8804458</v>
      </c>
      <c r="L59" s="2" t="s">
        <v>22</v>
      </c>
      <c r="M59" s="2" t="s">
        <v>135</v>
      </c>
    </row>
    <row r="60" spans="1:13" x14ac:dyDescent="0.3">
      <c r="A60" s="2" t="s">
        <v>47</v>
      </c>
      <c r="B60" s="2" t="s">
        <v>142</v>
      </c>
      <c r="C60" s="2" t="s">
        <v>19</v>
      </c>
      <c r="D60" s="2" t="s">
        <v>41</v>
      </c>
      <c r="E60" s="2" t="s">
        <v>33</v>
      </c>
      <c r="F60" s="2" t="s">
        <v>40</v>
      </c>
      <c r="G60" s="3">
        <v>44348</v>
      </c>
      <c r="H60" s="3">
        <v>44440</v>
      </c>
      <c r="I60" s="4">
        <f t="shared" si="1"/>
        <v>92</v>
      </c>
      <c r="J60" s="5">
        <v>5953512</v>
      </c>
      <c r="K60" s="5">
        <v>8586905</v>
      </c>
      <c r="L60" s="2" t="s">
        <v>22</v>
      </c>
      <c r="M60" s="2" t="s">
        <v>135</v>
      </c>
    </row>
    <row r="61" spans="1:13" x14ac:dyDescent="0.3">
      <c r="A61" s="2" t="s">
        <v>120</v>
      </c>
      <c r="B61" s="2" t="s">
        <v>142</v>
      </c>
      <c r="C61" s="2" t="s">
        <v>19</v>
      </c>
      <c r="D61" s="2" t="s">
        <v>41</v>
      </c>
      <c r="E61" s="2" t="s">
        <v>37</v>
      </c>
      <c r="F61" s="2" t="s">
        <v>20</v>
      </c>
      <c r="G61" s="3">
        <v>45748</v>
      </c>
      <c r="H61" s="3">
        <v>45839</v>
      </c>
      <c r="I61" s="4">
        <f t="shared" si="1"/>
        <v>91</v>
      </c>
      <c r="J61" s="5">
        <v>5150366</v>
      </c>
      <c r="K61" s="5">
        <v>8877742</v>
      </c>
      <c r="L61" s="2" t="s">
        <v>42</v>
      </c>
      <c r="M61" s="2" t="s">
        <v>135</v>
      </c>
    </row>
    <row r="62" spans="1:13" x14ac:dyDescent="0.3">
      <c r="A62" s="2" t="s">
        <v>87</v>
      </c>
      <c r="B62" s="2" t="s">
        <v>142</v>
      </c>
      <c r="C62" s="2" t="s">
        <v>49</v>
      </c>
      <c r="D62" s="2" t="s">
        <v>41</v>
      </c>
      <c r="E62" s="2" t="s">
        <v>16</v>
      </c>
      <c r="F62" s="2" t="s">
        <v>20</v>
      </c>
      <c r="G62" s="3">
        <v>45047</v>
      </c>
      <c r="H62" s="3">
        <v>45139</v>
      </c>
      <c r="I62" s="4">
        <f t="shared" si="1"/>
        <v>92</v>
      </c>
      <c r="J62" s="5">
        <v>4505069</v>
      </c>
      <c r="K62" s="5">
        <v>8478594</v>
      </c>
      <c r="L62" s="2" t="s">
        <v>26</v>
      </c>
      <c r="M62" s="2" t="s">
        <v>134</v>
      </c>
    </row>
    <row r="63" spans="1:13" x14ac:dyDescent="0.3">
      <c r="A63" s="2" t="s">
        <v>121</v>
      </c>
      <c r="B63" s="2" t="s">
        <v>142</v>
      </c>
      <c r="C63" s="2" t="s">
        <v>49</v>
      </c>
      <c r="D63" s="2" t="s">
        <v>41</v>
      </c>
      <c r="E63" s="2" t="s">
        <v>16</v>
      </c>
      <c r="F63" s="2" t="s">
        <v>14</v>
      </c>
      <c r="G63" s="3">
        <v>45748</v>
      </c>
      <c r="H63" s="3">
        <v>45839</v>
      </c>
      <c r="I63" s="4">
        <f t="shared" si="1"/>
        <v>91</v>
      </c>
      <c r="J63" s="5">
        <v>5620822</v>
      </c>
      <c r="K63" s="5">
        <v>8757403</v>
      </c>
      <c r="L63" s="2" t="s">
        <v>26</v>
      </c>
      <c r="M63" s="2" t="s">
        <v>137</v>
      </c>
    </row>
    <row r="64" spans="1:13" x14ac:dyDescent="0.3">
      <c r="A64" s="2" t="s">
        <v>68</v>
      </c>
      <c r="B64" s="2" t="s">
        <v>140</v>
      </c>
      <c r="C64" s="2" t="s">
        <v>49</v>
      </c>
      <c r="D64" s="2" t="s">
        <v>41</v>
      </c>
      <c r="E64" s="2" t="s">
        <v>37</v>
      </c>
      <c r="F64" s="2" t="s">
        <v>14</v>
      </c>
      <c r="G64" s="3">
        <v>44713</v>
      </c>
      <c r="H64" s="3">
        <v>44805</v>
      </c>
      <c r="I64" s="4">
        <f t="shared" si="1"/>
        <v>92</v>
      </c>
      <c r="J64" s="5">
        <v>3718103</v>
      </c>
      <c r="K64" s="5">
        <v>9127150</v>
      </c>
      <c r="L64" s="2" t="s">
        <v>22</v>
      </c>
      <c r="M64" s="2" t="s">
        <v>134</v>
      </c>
    </row>
    <row r="65" spans="1:13" x14ac:dyDescent="0.3">
      <c r="A65" s="2" t="s">
        <v>127</v>
      </c>
      <c r="B65" s="2" t="s">
        <v>140</v>
      </c>
      <c r="C65" s="2" t="s">
        <v>49</v>
      </c>
      <c r="D65" s="2" t="s">
        <v>41</v>
      </c>
      <c r="E65" s="2" t="s">
        <v>16</v>
      </c>
      <c r="F65" s="2" t="s">
        <v>28</v>
      </c>
      <c r="G65" s="3">
        <v>45839</v>
      </c>
      <c r="H65" s="3">
        <v>45931</v>
      </c>
      <c r="I65" s="4">
        <f t="shared" si="1"/>
        <v>92</v>
      </c>
      <c r="J65" s="5">
        <v>3932724</v>
      </c>
      <c r="K65" s="5">
        <v>9006043</v>
      </c>
      <c r="L65" s="2" t="s">
        <v>17</v>
      </c>
      <c r="M65" s="2" t="s">
        <v>137</v>
      </c>
    </row>
    <row r="66" spans="1:13" x14ac:dyDescent="0.3">
      <c r="A66" s="2" t="s">
        <v>58</v>
      </c>
      <c r="B66" s="2" t="s">
        <v>141</v>
      </c>
      <c r="C66" s="2" t="s">
        <v>49</v>
      </c>
      <c r="D66" s="2" t="s">
        <v>41</v>
      </c>
      <c r="E66" s="2" t="s">
        <v>37</v>
      </c>
      <c r="F66" s="2" t="s">
        <v>28</v>
      </c>
      <c r="G66" s="3">
        <v>44562</v>
      </c>
      <c r="H66" s="3">
        <v>44682</v>
      </c>
      <c r="I66" s="4">
        <f t="shared" ref="I66:I97" si="2">H66-G66</f>
        <v>120</v>
      </c>
      <c r="J66" s="5">
        <v>5974815</v>
      </c>
      <c r="K66" s="5">
        <v>8973631</v>
      </c>
      <c r="L66" s="2" t="s">
        <v>22</v>
      </c>
      <c r="M66" s="2" t="s">
        <v>137</v>
      </c>
    </row>
    <row r="67" spans="1:13" x14ac:dyDescent="0.3">
      <c r="A67" s="2" t="s">
        <v>118</v>
      </c>
      <c r="B67" s="2" t="s">
        <v>141</v>
      </c>
      <c r="C67" s="2" t="s">
        <v>49</v>
      </c>
      <c r="D67" s="2" t="s">
        <v>41</v>
      </c>
      <c r="E67" s="2" t="s">
        <v>16</v>
      </c>
      <c r="F67" s="2" t="s">
        <v>20</v>
      </c>
      <c r="G67" s="3">
        <v>45658</v>
      </c>
      <c r="H67" s="3">
        <v>45778</v>
      </c>
      <c r="I67" s="4">
        <f t="shared" si="2"/>
        <v>120</v>
      </c>
      <c r="J67" s="5">
        <v>2906572</v>
      </c>
      <c r="K67" s="5">
        <v>8599058</v>
      </c>
      <c r="L67" s="2" t="s">
        <v>26</v>
      </c>
      <c r="M67" s="2" t="s">
        <v>137</v>
      </c>
    </row>
    <row r="68" spans="1:13" x14ac:dyDescent="0.3">
      <c r="A68" s="2" t="s">
        <v>81</v>
      </c>
      <c r="B68" s="2" t="s">
        <v>141</v>
      </c>
      <c r="C68" s="2" t="s">
        <v>31</v>
      </c>
      <c r="D68" s="2" t="s">
        <v>41</v>
      </c>
      <c r="E68" s="2" t="s">
        <v>16</v>
      </c>
      <c r="F68" s="2" t="s">
        <v>40</v>
      </c>
      <c r="G68" s="3">
        <v>44866</v>
      </c>
      <c r="H68" s="3">
        <v>44986</v>
      </c>
      <c r="I68" s="4">
        <f t="shared" si="2"/>
        <v>120</v>
      </c>
      <c r="J68" s="5">
        <v>4802423</v>
      </c>
      <c r="K68" s="5">
        <v>8780231</v>
      </c>
      <c r="L68" s="2" t="s">
        <v>17</v>
      </c>
      <c r="M68" s="2" t="s">
        <v>137</v>
      </c>
    </row>
    <row r="69" spans="1:13" x14ac:dyDescent="0.3">
      <c r="A69" s="2" t="s">
        <v>78</v>
      </c>
      <c r="B69" s="2" t="s">
        <v>142</v>
      </c>
      <c r="C69" s="2" t="s">
        <v>39</v>
      </c>
      <c r="D69" s="2" t="s">
        <v>41</v>
      </c>
      <c r="E69" s="2" t="s">
        <v>16</v>
      </c>
      <c r="F69" s="2" t="s">
        <v>20</v>
      </c>
      <c r="G69" s="3">
        <v>44835</v>
      </c>
      <c r="H69" s="3">
        <v>44927</v>
      </c>
      <c r="I69" s="4">
        <f t="shared" si="2"/>
        <v>92</v>
      </c>
      <c r="J69" s="5">
        <v>4497364</v>
      </c>
      <c r="K69" s="5">
        <v>9022111</v>
      </c>
      <c r="L69" s="2" t="s">
        <v>26</v>
      </c>
      <c r="M69" s="2" t="s">
        <v>135</v>
      </c>
    </row>
    <row r="70" spans="1:13" x14ac:dyDescent="0.3">
      <c r="A70" s="2" t="s">
        <v>38</v>
      </c>
      <c r="B70" s="2" t="s">
        <v>141</v>
      </c>
      <c r="C70" s="2" t="s">
        <v>39</v>
      </c>
      <c r="D70" s="2" t="s">
        <v>41</v>
      </c>
      <c r="E70" s="2" t="s">
        <v>37</v>
      </c>
      <c r="F70" s="2" t="s">
        <v>40</v>
      </c>
      <c r="G70" s="3">
        <v>44317</v>
      </c>
      <c r="H70" s="3">
        <v>44409</v>
      </c>
      <c r="I70" s="4">
        <f t="shared" si="2"/>
        <v>92</v>
      </c>
      <c r="J70" s="5">
        <v>3475275</v>
      </c>
      <c r="K70" s="5">
        <v>8994585</v>
      </c>
      <c r="L70" s="2" t="s">
        <v>42</v>
      </c>
      <c r="M70" s="2" t="s">
        <v>136</v>
      </c>
    </row>
    <row r="71" spans="1:13" x14ac:dyDescent="0.3">
      <c r="A71" s="2" t="s">
        <v>80</v>
      </c>
      <c r="B71" s="2" t="s">
        <v>141</v>
      </c>
      <c r="C71" s="2" t="s">
        <v>39</v>
      </c>
      <c r="D71" s="2" t="s">
        <v>41</v>
      </c>
      <c r="E71" s="2" t="s">
        <v>37</v>
      </c>
      <c r="F71" s="2" t="s">
        <v>28</v>
      </c>
      <c r="G71" s="3">
        <v>44866</v>
      </c>
      <c r="H71" s="3">
        <v>44986</v>
      </c>
      <c r="I71" s="4">
        <f t="shared" si="2"/>
        <v>120</v>
      </c>
      <c r="J71" s="5">
        <v>3472531</v>
      </c>
      <c r="K71" s="5">
        <v>9084736</v>
      </c>
      <c r="L71" s="2" t="s">
        <v>22</v>
      </c>
      <c r="M71" s="2" t="s">
        <v>135</v>
      </c>
    </row>
    <row r="72" spans="1:13" x14ac:dyDescent="0.3">
      <c r="A72" s="2" t="s">
        <v>85</v>
      </c>
      <c r="B72" s="2" t="s">
        <v>142</v>
      </c>
      <c r="C72" s="2" t="s">
        <v>24</v>
      </c>
      <c r="D72" s="2" t="s">
        <v>41</v>
      </c>
      <c r="E72" s="2" t="s">
        <v>33</v>
      </c>
      <c r="F72" s="2" t="s">
        <v>14</v>
      </c>
      <c r="G72" s="3">
        <v>44927</v>
      </c>
      <c r="H72" s="3">
        <v>45047</v>
      </c>
      <c r="I72" s="4">
        <f t="shared" si="2"/>
        <v>120</v>
      </c>
      <c r="J72" s="5">
        <v>5412530</v>
      </c>
      <c r="K72" s="5">
        <v>8527421</v>
      </c>
      <c r="L72" s="2" t="s">
        <v>17</v>
      </c>
      <c r="M72" s="2" t="s">
        <v>135</v>
      </c>
    </row>
    <row r="73" spans="1:13" x14ac:dyDescent="0.3">
      <c r="A73" s="2" t="s">
        <v>91</v>
      </c>
      <c r="B73" s="2" t="s">
        <v>140</v>
      </c>
      <c r="C73" s="2" t="s">
        <v>24</v>
      </c>
      <c r="D73" s="2" t="s">
        <v>41</v>
      </c>
      <c r="E73" s="2" t="s">
        <v>16</v>
      </c>
      <c r="F73" s="2" t="s">
        <v>14</v>
      </c>
      <c r="G73" s="3">
        <v>45139</v>
      </c>
      <c r="H73" s="3">
        <v>45231</v>
      </c>
      <c r="I73" s="4">
        <f t="shared" si="2"/>
        <v>92</v>
      </c>
      <c r="J73" s="5">
        <v>4612925</v>
      </c>
      <c r="K73" s="5">
        <v>8910680</v>
      </c>
      <c r="L73" s="2" t="s">
        <v>22</v>
      </c>
      <c r="M73" s="2" t="s">
        <v>136</v>
      </c>
    </row>
    <row r="74" spans="1:13" x14ac:dyDescent="0.3">
      <c r="A74" s="2" t="s">
        <v>106</v>
      </c>
      <c r="B74" s="2" t="s">
        <v>141</v>
      </c>
      <c r="C74" s="2" t="s">
        <v>24</v>
      </c>
      <c r="D74" s="2" t="s">
        <v>41</v>
      </c>
      <c r="E74" s="2" t="s">
        <v>33</v>
      </c>
      <c r="F74" s="2" t="s">
        <v>14</v>
      </c>
      <c r="G74" s="3">
        <v>45505</v>
      </c>
      <c r="H74" s="3">
        <v>45597</v>
      </c>
      <c r="I74" s="4">
        <f t="shared" si="2"/>
        <v>92</v>
      </c>
      <c r="J74" s="5">
        <v>5418933</v>
      </c>
      <c r="K74" s="5">
        <v>8846243</v>
      </c>
      <c r="L74" s="2" t="s">
        <v>42</v>
      </c>
      <c r="M74" s="2" t="s">
        <v>136</v>
      </c>
    </row>
    <row r="75" spans="1:13" x14ac:dyDescent="0.3">
      <c r="A75" s="2" t="s">
        <v>129</v>
      </c>
      <c r="B75" s="2" t="s">
        <v>141</v>
      </c>
      <c r="C75" s="2" t="s">
        <v>24</v>
      </c>
      <c r="D75" s="2" t="s">
        <v>41</v>
      </c>
      <c r="E75" s="2" t="s">
        <v>33</v>
      </c>
      <c r="F75" s="2" t="s">
        <v>40</v>
      </c>
      <c r="G75" s="3">
        <v>45870</v>
      </c>
      <c r="H75" s="3">
        <v>45962</v>
      </c>
      <c r="I75" s="4">
        <f t="shared" si="2"/>
        <v>92</v>
      </c>
      <c r="J75" s="5">
        <v>5259436</v>
      </c>
      <c r="K75" s="5">
        <v>8817917</v>
      </c>
      <c r="L75" s="2" t="s">
        <v>42</v>
      </c>
      <c r="M75" s="2" t="s">
        <v>135</v>
      </c>
    </row>
    <row r="76" spans="1:13" x14ac:dyDescent="0.3">
      <c r="A76" s="2" t="s">
        <v>131</v>
      </c>
      <c r="B76" s="2" t="s">
        <v>140</v>
      </c>
      <c r="C76" s="2" t="s">
        <v>13</v>
      </c>
      <c r="D76" s="2" t="s">
        <v>41</v>
      </c>
      <c r="E76" s="2" t="s">
        <v>37</v>
      </c>
      <c r="F76" s="2" t="s">
        <v>20</v>
      </c>
      <c r="G76" s="3">
        <v>45962</v>
      </c>
      <c r="H76" s="3">
        <v>46082</v>
      </c>
      <c r="I76" s="4">
        <f t="shared" si="2"/>
        <v>120</v>
      </c>
      <c r="J76" s="5">
        <v>4283481</v>
      </c>
      <c r="K76" s="5">
        <v>8895152</v>
      </c>
      <c r="L76" s="2" t="s">
        <v>26</v>
      </c>
      <c r="M76" s="2" t="s">
        <v>135</v>
      </c>
    </row>
    <row r="77" spans="1:13" x14ac:dyDescent="0.3">
      <c r="A77" s="2" t="s">
        <v>105</v>
      </c>
      <c r="B77" s="2" t="s">
        <v>141</v>
      </c>
      <c r="C77" s="2" t="s">
        <v>13</v>
      </c>
      <c r="D77" s="2" t="s">
        <v>41</v>
      </c>
      <c r="E77" s="2" t="s">
        <v>16</v>
      </c>
      <c r="F77" s="2" t="s">
        <v>14</v>
      </c>
      <c r="G77" s="3">
        <v>45474</v>
      </c>
      <c r="H77" s="3">
        <v>45566</v>
      </c>
      <c r="I77" s="4">
        <f t="shared" si="2"/>
        <v>92</v>
      </c>
      <c r="J77" s="5">
        <v>4426475</v>
      </c>
      <c r="K77" s="5">
        <v>8515880</v>
      </c>
      <c r="L77" s="2" t="s">
        <v>22</v>
      </c>
      <c r="M77" s="2" t="s">
        <v>135</v>
      </c>
    </row>
    <row r="78" spans="1:13" x14ac:dyDescent="0.3">
      <c r="A78" s="2" t="s">
        <v>125</v>
      </c>
      <c r="B78" s="2" t="s">
        <v>142</v>
      </c>
      <c r="C78" s="2" t="s">
        <v>45</v>
      </c>
      <c r="D78" s="2" t="s">
        <v>25</v>
      </c>
      <c r="E78" s="2" t="s">
        <v>37</v>
      </c>
      <c r="F78" s="2" t="s">
        <v>20</v>
      </c>
      <c r="G78" s="3">
        <v>45809</v>
      </c>
      <c r="H78" s="3">
        <v>45901</v>
      </c>
      <c r="I78" s="4">
        <f t="shared" si="2"/>
        <v>92</v>
      </c>
      <c r="J78" s="5">
        <v>2693471</v>
      </c>
      <c r="K78" s="5">
        <v>9103716</v>
      </c>
      <c r="L78" s="2" t="s">
        <v>26</v>
      </c>
      <c r="M78" s="2" t="s">
        <v>135</v>
      </c>
    </row>
    <row r="79" spans="1:13" x14ac:dyDescent="0.3">
      <c r="A79" s="2" t="s">
        <v>61</v>
      </c>
      <c r="B79" s="2" t="s">
        <v>139</v>
      </c>
      <c r="C79" s="2" t="s">
        <v>45</v>
      </c>
      <c r="D79" s="2" t="s">
        <v>25</v>
      </c>
      <c r="E79" s="2" t="s">
        <v>16</v>
      </c>
      <c r="F79" s="2" t="s">
        <v>14</v>
      </c>
      <c r="G79" s="3">
        <v>44621</v>
      </c>
      <c r="H79" s="3">
        <v>44713</v>
      </c>
      <c r="I79" s="4">
        <f t="shared" si="2"/>
        <v>92</v>
      </c>
      <c r="J79" s="5">
        <v>3201907</v>
      </c>
      <c r="K79" s="5">
        <v>8800186</v>
      </c>
      <c r="L79" s="2" t="s">
        <v>22</v>
      </c>
      <c r="M79" s="2" t="s">
        <v>136</v>
      </c>
    </row>
    <row r="80" spans="1:13" x14ac:dyDescent="0.3">
      <c r="A80" s="2" t="s">
        <v>79</v>
      </c>
      <c r="B80" s="2" t="s">
        <v>139</v>
      </c>
      <c r="C80" s="2" t="s">
        <v>45</v>
      </c>
      <c r="D80" s="2" t="s">
        <v>25</v>
      </c>
      <c r="E80" s="2" t="s">
        <v>37</v>
      </c>
      <c r="F80" s="2" t="s">
        <v>40</v>
      </c>
      <c r="G80" s="3">
        <v>44835</v>
      </c>
      <c r="H80" s="3">
        <v>44927</v>
      </c>
      <c r="I80" s="4">
        <f t="shared" si="2"/>
        <v>92</v>
      </c>
      <c r="J80" s="5">
        <v>5570834</v>
      </c>
      <c r="K80" s="5">
        <v>8429375</v>
      </c>
      <c r="L80" s="2" t="s">
        <v>17</v>
      </c>
      <c r="M80" s="2" t="s">
        <v>136</v>
      </c>
    </row>
    <row r="81" spans="1:13" x14ac:dyDescent="0.3">
      <c r="A81" s="2" t="s">
        <v>97</v>
      </c>
      <c r="B81" s="2" t="s">
        <v>141</v>
      </c>
      <c r="C81" s="2" t="s">
        <v>45</v>
      </c>
      <c r="D81" s="2" t="s">
        <v>25</v>
      </c>
      <c r="E81" s="2" t="s">
        <v>16</v>
      </c>
      <c r="F81" s="2" t="s">
        <v>14</v>
      </c>
      <c r="G81" s="3">
        <v>45231</v>
      </c>
      <c r="H81" s="3">
        <v>45323</v>
      </c>
      <c r="I81" s="4">
        <f t="shared" si="2"/>
        <v>92</v>
      </c>
      <c r="J81" s="5">
        <v>3261249</v>
      </c>
      <c r="K81" s="5">
        <v>8696481</v>
      </c>
      <c r="L81" s="2" t="s">
        <v>26</v>
      </c>
      <c r="M81" s="2" t="s">
        <v>135</v>
      </c>
    </row>
    <row r="82" spans="1:13" x14ac:dyDescent="0.3">
      <c r="A82" s="2" t="s">
        <v>34</v>
      </c>
      <c r="B82" s="2" t="s">
        <v>142</v>
      </c>
      <c r="C82" s="2" t="s">
        <v>19</v>
      </c>
      <c r="D82" s="2" t="s">
        <v>25</v>
      </c>
      <c r="E82" s="2" t="s">
        <v>16</v>
      </c>
      <c r="F82" s="2" t="s">
        <v>14</v>
      </c>
      <c r="G82" s="3">
        <v>44287</v>
      </c>
      <c r="H82" s="3">
        <v>44378</v>
      </c>
      <c r="I82" s="4">
        <f t="shared" si="2"/>
        <v>91</v>
      </c>
      <c r="J82" s="5">
        <v>4557606</v>
      </c>
      <c r="K82" s="5">
        <v>9014448</v>
      </c>
      <c r="L82" s="2" t="s">
        <v>26</v>
      </c>
      <c r="M82" s="2" t="s">
        <v>137</v>
      </c>
    </row>
    <row r="83" spans="1:13" x14ac:dyDescent="0.3">
      <c r="A83" s="2" t="s">
        <v>83</v>
      </c>
      <c r="B83" s="2" t="s">
        <v>141</v>
      </c>
      <c r="C83" s="2" t="s">
        <v>19</v>
      </c>
      <c r="D83" s="2" t="s">
        <v>25</v>
      </c>
      <c r="E83" s="2" t="s">
        <v>33</v>
      </c>
      <c r="F83" s="2" t="s">
        <v>28</v>
      </c>
      <c r="G83" s="3">
        <v>44896</v>
      </c>
      <c r="H83" s="3">
        <v>44986</v>
      </c>
      <c r="I83" s="4">
        <f t="shared" si="2"/>
        <v>90</v>
      </c>
      <c r="J83" s="5">
        <v>5896885</v>
      </c>
      <c r="K83" s="5">
        <v>8539690</v>
      </c>
      <c r="L83" s="2" t="s">
        <v>22</v>
      </c>
      <c r="M83" s="2" t="s">
        <v>135</v>
      </c>
    </row>
    <row r="84" spans="1:13" x14ac:dyDescent="0.3">
      <c r="A84" s="2" t="s">
        <v>86</v>
      </c>
      <c r="B84" s="2" t="s">
        <v>141</v>
      </c>
      <c r="C84" s="2" t="s">
        <v>19</v>
      </c>
      <c r="D84" s="2" t="s">
        <v>25</v>
      </c>
      <c r="E84" s="2" t="s">
        <v>33</v>
      </c>
      <c r="F84" s="2" t="s">
        <v>14</v>
      </c>
      <c r="G84" s="3">
        <v>44958</v>
      </c>
      <c r="H84" s="3">
        <v>45078</v>
      </c>
      <c r="I84" s="4">
        <f t="shared" si="2"/>
        <v>120</v>
      </c>
      <c r="J84" s="5">
        <v>5543765</v>
      </c>
      <c r="K84" s="5">
        <v>8769988</v>
      </c>
      <c r="L84" s="2" t="s">
        <v>42</v>
      </c>
      <c r="M84" s="2" t="s">
        <v>135</v>
      </c>
    </row>
    <row r="85" spans="1:13" x14ac:dyDescent="0.3">
      <c r="A85" s="2" t="s">
        <v>109</v>
      </c>
      <c r="B85" s="2" t="s">
        <v>139</v>
      </c>
      <c r="C85" s="2" t="s">
        <v>31</v>
      </c>
      <c r="D85" s="2" t="s">
        <v>25</v>
      </c>
      <c r="E85" s="2" t="s">
        <v>33</v>
      </c>
      <c r="F85" s="2" t="s">
        <v>14</v>
      </c>
      <c r="G85" s="3">
        <v>45566</v>
      </c>
      <c r="H85" s="3">
        <v>45658</v>
      </c>
      <c r="I85" s="4">
        <f t="shared" si="2"/>
        <v>92</v>
      </c>
      <c r="J85" s="5">
        <v>4258440</v>
      </c>
      <c r="K85" s="5">
        <v>8577445</v>
      </c>
      <c r="L85" s="2" t="s">
        <v>17</v>
      </c>
      <c r="M85" s="2" t="s">
        <v>134</v>
      </c>
    </row>
    <row r="86" spans="1:13" x14ac:dyDescent="0.3">
      <c r="A86" s="2" t="s">
        <v>50</v>
      </c>
      <c r="B86" s="2" t="s">
        <v>141</v>
      </c>
      <c r="C86" s="2" t="s">
        <v>31</v>
      </c>
      <c r="D86" s="2" t="s">
        <v>25</v>
      </c>
      <c r="E86" s="2" t="s">
        <v>33</v>
      </c>
      <c r="F86" s="2" t="s">
        <v>40</v>
      </c>
      <c r="G86" s="3">
        <v>44378</v>
      </c>
      <c r="H86" s="3">
        <v>44470</v>
      </c>
      <c r="I86" s="4">
        <f t="shared" si="2"/>
        <v>92</v>
      </c>
      <c r="J86" s="5">
        <v>3472986</v>
      </c>
      <c r="K86" s="5">
        <v>9125362</v>
      </c>
      <c r="L86" s="2" t="s">
        <v>26</v>
      </c>
      <c r="M86" s="2" t="s">
        <v>136</v>
      </c>
    </row>
    <row r="87" spans="1:13" x14ac:dyDescent="0.3">
      <c r="A87" s="2" t="s">
        <v>124</v>
      </c>
      <c r="B87" s="2" t="s">
        <v>142</v>
      </c>
      <c r="C87" s="2" t="s">
        <v>39</v>
      </c>
      <c r="D87" s="2" t="s">
        <v>25</v>
      </c>
      <c r="E87" s="2" t="s">
        <v>16</v>
      </c>
      <c r="F87" s="2" t="s">
        <v>40</v>
      </c>
      <c r="G87" s="3">
        <v>45809</v>
      </c>
      <c r="H87" s="3">
        <v>45901</v>
      </c>
      <c r="I87" s="4">
        <f t="shared" si="2"/>
        <v>92</v>
      </c>
      <c r="J87" s="5">
        <v>4805056</v>
      </c>
      <c r="K87" s="5">
        <v>8895516</v>
      </c>
      <c r="L87" s="2" t="s">
        <v>22</v>
      </c>
      <c r="M87" s="2" t="s">
        <v>137</v>
      </c>
    </row>
    <row r="88" spans="1:13" x14ac:dyDescent="0.3">
      <c r="A88" s="2" t="s">
        <v>54</v>
      </c>
      <c r="B88" s="2" t="s">
        <v>139</v>
      </c>
      <c r="C88" s="2" t="s">
        <v>39</v>
      </c>
      <c r="D88" s="2" t="s">
        <v>25</v>
      </c>
      <c r="E88" s="2" t="s">
        <v>16</v>
      </c>
      <c r="F88" s="2" t="s">
        <v>28</v>
      </c>
      <c r="G88" s="3">
        <v>44470</v>
      </c>
      <c r="H88" s="3">
        <v>44562</v>
      </c>
      <c r="I88" s="4">
        <f t="shared" si="2"/>
        <v>92</v>
      </c>
      <c r="J88" s="5">
        <v>2900355</v>
      </c>
      <c r="K88" s="5">
        <v>8979944</v>
      </c>
      <c r="L88" s="2" t="s">
        <v>17</v>
      </c>
      <c r="M88" s="2" t="s">
        <v>134</v>
      </c>
    </row>
    <row r="89" spans="1:13" x14ac:dyDescent="0.3">
      <c r="A89" s="2" t="s">
        <v>115</v>
      </c>
      <c r="B89" s="2" t="s">
        <v>139</v>
      </c>
      <c r="C89" s="2" t="s">
        <v>39</v>
      </c>
      <c r="D89" s="2" t="s">
        <v>25</v>
      </c>
      <c r="E89" s="2" t="s">
        <v>33</v>
      </c>
      <c r="F89" s="2" t="s">
        <v>14</v>
      </c>
      <c r="G89" s="3">
        <v>45627</v>
      </c>
      <c r="H89" s="3">
        <v>45717</v>
      </c>
      <c r="I89" s="4">
        <f t="shared" si="2"/>
        <v>90</v>
      </c>
      <c r="J89" s="5">
        <v>3678091</v>
      </c>
      <c r="K89" s="5">
        <v>8985903</v>
      </c>
      <c r="L89" s="2" t="s">
        <v>42</v>
      </c>
      <c r="M89" s="2" t="s">
        <v>135</v>
      </c>
    </row>
    <row r="90" spans="1:13" x14ac:dyDescent="0.3">
      <c r="A90" s="2" t="s">
        <v>130</v>
      </c>
      <c r="B90" s="2" t="s">
        <v>139</v>
      </c>
      <c r="C90" s="2" t="s">
        <v>39</v>
      </c>
      <c r="D90" s="2" t="s">
        <v>25</v>
      </c>
      <c r="E90" s="2" t="s">
        <v>33</v>
      </c>
      <c r="F90" s="2" t="s">
        <v>14</v>
      </c>
      <c r="G90" s="3">
        <v>45901</v>
      </c>
      <c r="H90" s="3">
        <v>45992</v>
      </c>
      <c r="I90" s="4">
        <f t="shared" si="2"/>
        <v>91</v>
      </c>
      <c r="J90" s="5">
        <v>4790417</v>
      </c>
      <c r="K90" s="5">
        <v>8872443</v>
      </c>
      <c r="L90" s="2" t="s">
        <v>17</v>
      </c>
      <c r="M90" s="2" t="s">
        <v>136</v>
      </c>
    </row>
    <row r="91" spans="1:13" x14ac:dyDescent="0.3">
      <c r="A91" s="2" t="s">
        <v>88</v>
      </c>
      <c r="B91" s="2" t="s">
        <v>140</v>
      </c>
      <c r="C91" s="2" t="s">
        <v>39</v>
      </c>
      <c r="D91" s="2" t="s">
        <v>25</v>
      </c>
      <c r="E91" s="2" t="s">
        <v>37</v>
      </c>
      <c r="F91" s="2" t="s">
        <v>40</v>
      </c>
      <c r="G91" s="3">
        <v>45108</v>
      </c>
      <c r="H91" s="3">
        <v>45200</v>
      </c>
      <c r="I91" s="4">
        <f t="shared" si="2"/>
        <v>92</v>
      </c>
      <c r="J91" s="5">
        <v>4013283</v>
      </c>
      <c r="K91" s="5">
        <v>8830540</v>
      </c>
      <c r="L91" s="2" t="s">
        <v>42</v>
      </c>
      <c r="M91" s="2" t="s">
        <v>136</v>
      </c>
    </row>
    <row r="92" spans="1:13" x14ac:dyDescent="0.3">
      <c r="A92" s="2" t="s">
        <v>104</v>
      </c>
      <c r="B92" s="2" t="s">
        <v>142</v>
      </c>
      <c r="C92" s="2" t="s">
        <v>24</v>
      </c>
      <c r="D92" s="2" t="s">
        <v>25</v>
      </c>
      <c r="E92" s="2" t="s">
        <v>33</v>
      </c>
      <c r="F92" s="2" t="s">
        <v>14</v>
      </c>
      <c r="G92" s="3">
        <v>45383</v>
      </c>
      <c r="H92" s="3">
        <v>45474</v>
      </c>
      <c r="I92" s="4">
        <f t="shared" si="2"/>
        <v>91</v>
      </c>
      <c r="J92" s="5">
        <v>2706279</v>
      </c>
      <c r="K92" s="5">
        <v>8547124</v>
      </c>
      <c r="L92" s="2" t="s">
        <v>17</v>
      </c>
      <c r="M92" s="2" t="s">
        <v>136</v>
      </c>
    </row>
    <row r="93" spans="1:13" x14ac:dyDescent="0.3">
      <c r="A93" s="2" t="s">
        <v>23</v>
      </c>
      <c r="B93" s="2" t="s">
        <v>139</v>
      </c>
      <c r="C93" s="2" t="s">
        <v>24</v>
      </c>
      <c r="D93" s="2" t="s">
        <v>25</v>
      </c>
      <c r="E93" s="2" t="s">
        <v>16</v>
      </c>
      <c r="F93" s="2" t="s">
        <v>14</v>
      </c>
      <c r="G93" s="3">
        <v>44256</v>
      </c>
      <c r="H93" s="3">
        <v>44348</v>
      </c>
      <c r="I93" s="4">
        <f t="shared" si="2"/>
        <v>92</v>
      </c>
      <c r="J93" s="5">
        <v>4285483</v>
      </c>
      <c r="K93" s="5">
        <v>9078339</v>
      </c>
      <c r="L93" s="2" t="s">
        <v>26</v>
      </c>
      <c r="M93" s="2" t="s">
        <v>136</v>
      </c>
    </row>
    <row r="94" spans="1:13" x14ac:dyDescent="0.3">
      <c r="A94" s="2" t="s">
        <v>93</v>
      </c>
      <c r="B94" s="2" t="s">
        <v>139</v>
      </c>
      <c r="C94" s="2" t="s">
        <v>24</v>
      </c>
      <c r="D94" s="2" t="s">
        <v>25</v>
      </c>
      <c r="E94" s="2" t="s">
        <v>16</v>
      </c>
      <c r="F94" s="2" t="s">
        <v>28</v>
      </c>
      <c r="G94" s="3">
        <v>45170</v>
      </c>
      <c r="H94" s="3">
        <v>45261</v>
      </c>
      <c r="I94" s="4">
        <f t="shared" si="2"/>
        <v>91</v>
      </c>
      <c r="J94" s="5">
        <v>2511189</v>
      </c>
      <c r="K94" s="5">
        <v>8776602</v>
      </c>
      <c r="L94" s="2" t="s">
        <v>42</v>
      </c>
      <c r="M94" s="2" t="s">
        <v>137</v>
      </c>
    </row>
    <row r="95" spans="1:13" x14ac:dyDescent="0.3">
      <c r="A95" s="2" t="s">
        <v>60</v>
      </c>
      <c r="B95" s="2" t="s">
        <v>140</v>
      </c>
      <c r="C95" s="2" t="s">
        <v>24</v>
      </c>
      <c r="D95" s="2" t="s">
        <v>25</v>
      </c>
      <c r="E95" s="2" t="s">
        <v>37</v>
      </c>
      <c r="F95" s="2" t="s">
        <v>40</v>
      </c>
      <c r="G95" s="3">
        <v>44621</v>
      </c>
      <c r="H95" s="3">
        <v>44713</v>
      </c>
      <c r="I95" s="4">
        <f t="shared" si="2"/>
        <v>92</v>
      </c>
      <c r="J95" s="5">
        <v>2871386</v>
      </c>
      <c r="K95" s="5">
        <v>8694563</v>
      </c>
      <c r="L95" s="2" t="s">
        <v>17</v>
      </c>
      <c r="M95" s="2" t="s">
        <v>135</v>
      </c>
    </row>
    <row r="96" spans="1:13" x14ac:dyDescent="0.3">
      <c r="A96" s="2" t="s">
        <v>95</v>
      </c>
      <c r="B96" s="2" t="s">
        <v>139</v>
      </c>
      <c r="C96" s="2" t="s">
        <v>13</v>
      </c>
      <c r="D96" s="2" t="s">
        <v>25</v>
      </c>
      <c r="E96" s="2" t="s">
        <v>37</v>
      </c>
      <c r="F96" s="2" t="s">
        <v>40</v>
      </c>
      <c r="G96" s="3">
        <v>45170</v>
      </c>
      <c r="H96" s="3">
        <v>45261</v>
      </c>
      <c r="I96" s="4">
        <f t="shared" si="2"/>
        <v>91</v>
      </c>
      <c r="J96" s="5">
        <v>2578748</v>
      </c>
      <c r="K96" s="5">
        <v>9069084</v>
      </c>
      <c r="L96" s="2" t="s">
        <v>42</v>
      </c>
      <c r="M96" s="2" t="s">
        <v>137</v>
      </c>
    </row>
    <row r="97" spans="1:13" x14ac:dyDescent="0.3">
      <c r="A97" s="2" t="s">
        <v>107</v>
      </c>
      <c r="B97" s="2" t="s">
        <v>139</v>
      </c>
      <c r="C97" s="2" t="s">
        <v>13</v>
      </c>
      <c r="D97" s="2" t="s">
        <v>25</v>
      </c>
      <c r="E97" s="2" t="s">
        <v>37</v>
      </c>
      <c r="F97" s="2" t="s">
        <v>40</v>
      </c>
      <c r="G97" s="3">
        <v>45536</v>
      </c>
      <c r="H97" s="3">
        <v>45627</v>
      </c>
      <c r="I97" s="4">
        <f t="shared" si="2"/>
        <v>91</v>
      </c>
      <c r="J97" s="5">
        <v>3242647</v>
      </c>
      <c r="K97" s="5">
        <v>8531617</v>
      </c>
      <c r="L97" s="2" t="s">
        <v>26</v>
      </c>
      <c r="M97" s="2" t="s">
        <v>135</v>
      </c>
    </row>
    <row r="98" spans="1:13" x14ac:dyDescent="0.3">
      <c r="A98" s="2" t="s">
        <v>46</v>
      </c>
      <c r="B98" s="2" t="s">
        <v>140</v>
      </c>
      <c r="C98" s="2" t="s">
        <v>13</v>
      </c>
      <c r="D98" s="2" t="s">
        <v>25</v>
      </c>
      <c r="E98" s="2" t="s">
        <v>37</v>
      </c>
      <c r="F98" s="2" t="s">
        <v>40</v>
      </c>
      <c r="G98" s="3">
        <v>44317</v>
      </c>
      <c r="H98" s="3">
        <v>44409</v>
      </c>
      <c r="I98" s="4">
        <f t="shared" ref="I98:I100" si="3">H98-G98</f>
        <v>92</v>
      </c>
      <c r="J98" s="5">
        <v>5130016</v>
      </c>
      <c r="K98" s="5">
        <v>9165877</v>
      </c>
      <c r="L98" s="2" t="s">
        <v>22</v>
      </c>
      <c r="M98" s="2" t="s">
        <v>136</v>
      </c>
    </row>
    <row r="99" spans="1:13" x14ac:dyDescent="0.3">
      <c r="A99" s="2" t="s">
        <v>75</v>
      </c>
      <c r="B99" s="2" t="s">
        <v>140</v>
      </c>
      <c r="C99" s="2" t="s">
        <v>13</v>
      </c>
      <c r="D99" s="2" t="s">
        <v>25</v>
      </c>
      <c r="E99" s="2" t="s">
        <v>33</v>
      </c>
      <c r="F99" s="2" t="s">
        <v>28</v>
      </c>
      <c r="G99" s="3">
        <v>44774</v>
      </c>
      <c r="H99" s="3">
        <v>44866</v>
      </c>
      <c r="I99" s="4">
        <f t="shared" si="3"/>
        <v>92</v>
      </c>
      <c r="J99" s="5">
        <v>3978102</v>
      </c>
      <c r="K99" s="5">
        <v>8488880</v>
      </c>
      <c r="L99" s="2" t="s">
        <v>17</v>
      </c>
      <c r="M99" s="2" t="s">
        <v>137</v>
      </c>
    </row>
    <row r="100" spans="1:13" x14ac:dyDescent="0.3">
      <c r="A100" s="2" t="s">
        <v>35</v>
      </c>
      <c r="B100" s="2" t="s">
        <v>141</v>
      </c>
      <c r="C100" s="2" t="s">
        <v>13</v>
      </c>
      <c r="D100" s="2" t="s">
        <v>25</v>
      </c>
      <c r="E100" s="2" t="s">
        <v>16</v>
      </c>
      <c r="F100" s="2" t="s">
        <v>20</v>
      </c>
      <c r="G100" s="3">
        <v>44287</v>
      </c>
      <c r="H100" s="3">
        <v>44378</v>
      </c>
      <c r="I100" s="4">
        <f t="shared" si="3"/>
        <v>91</v>
      </c>
      <c r="J100" s="5">
        <v>3190009</v>
      </c>
      <c r="K100" s="5">
        <v>8674613</v>
      </c>
      <c r="L100" s="2" t="s">
        <v>26</v>
      </c>
      <c r="M100" s="2" t="s">
        <v>134</v>
      </c>
    </row>
  </sheetData>
  <autoFilter ref="A1:M100" xr:uid="{00000000-0001-0000-0000-000000000000}">
    <sortState xmlns:xlrd2="http://schemas.microsoft.com/office/spreadsheetml/2017/richdata2" ref="A2:M100">
      <sortCondition ref="D1:D1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C1F4-8E1C-4C89-A921-32528808D319}">
  <sheetPr>
    <tabColor rgb="FF00B0F0"/>
  </sheetPr>
  <dimension ref="B2:M106"/>
  <sheetViews>
    <sheetView showGridLines="0" tabSelected="1" workbookViewId="0">
      <selection activeCell="P4" sqref="P4"/>
    </sheetView>
  </sheetViews>
  <sheetFormatPr defaultRowHeight="14.5" x14ac:dyDescent="0.35"/>
  <cols>
    <col min="1" max="1" width="3.6328125" customWidth="1"/>
    <col min="2" max="5" width="9.08984375" customWidth="1"/>
    <col min="10" max="13" width="9.08984375" customWidth="1"/>
  </cols>
  <sheetData>
    <row r="2" spans="2:13" x14ac:dyDescent="0.35">
      <c r="B2" s="12" t="s">
        <v>145</v>
      </c>
      <c r="C2" s="12"/>
      <c r="D2" s="12"/>
      <c r="E2" s="12"/>
      <c r="J2" s="12" t="s">
        <v>146</v>
      </c>
      <c r="K2" s="12"/>
      <c r="L2" s="12"/>
      <c r="M2" s="12"/>
    </row>
    <row r="3" spans="2:13" x14ac:dyDescent="0.35">
      <c r="B3" s="11" t="s">
        <v>143</v>
      </c>
      <c r="C3" s="11"/>
      <c r="D3" s="11">
        <f>_xlfn.COVARIANCE.S('Project 04'!K:K,'Project 04'!I:I)</f>
        <v>-90303.960214388702</v>
      </c>
      <c r="E3" s="11"/>
      <c r="J3" s="11" t="s">
        <v>143</v>
      </c>
      <c r="K3" s="11"/>
      <c r="L3" s="11">
        <f>_xlfn.COVARIANCE.S('Project 04'!K:K,'Project 04'!J:J)</f>
        <v>-36868465579.803329</v>
      </c>
      <c r="M3" s="11"/>
    </row>
    <row r="4" spans="2:13" x14ac:dyDescent="0.35">
      <c r="B4" s="11" t="s">
        <v>144</v>
      </c>
      <c r="C4" s="11"/>
      <c r="D4" s="11">
        <f xml:space="preserve">
CORREL('Project 04'!K:K,'Project 04'!I:I)</f>
        <v>-3.9601909286621467E-2</v>
      </c>
      <c r="E4" s="11"/>
      <c r="J4" s="11" t="s">
        <v>144</v>
      </c>
      <c r="K4" s="11"/>
      <c r="L4" s="11">
        <f>CORREL('Project 04'!K:K,'Project 04'!J:J)</f>
        <v>-0.1582567714125368</v>
      </c>
      <c r="M4" s="11"/>
    </row>
    <row r="7" spans="2:13" x14ac:dyDescent="0.35">
      <c r="B7" s="1"/>
      <c r="C7" s="1"/>
    </row>
    <row r="8" spans="2:13" x14ac:dyDescent="0.35">
      <c r="B8" s="1"/>
      <c r="C8" s="1"/>
    </row>
    <row r="9" spans="2:13" x14ac:dyDescent="0.35">
      <c r="B9" s="1"/>
      <c r="C9" s="1"/>
    </row>
    <row r="10" spans="2:13" x14ac:dyDescent="0.35">
      <c r="B10" s="1"/>
      <c r="C10" s="1"/>
    </row>
    <row r="11" spans="2:13" x14ac:dyDescent="0.35">
      <c r="B11" s="1"/>
      <c r="C11" s="1"/>
    </row>
    <row r="12" spans="2:13" x14ac:dyDescent="0.35">
      <c r="B12" s="1"/>
      <c r="C12" s="1"/>
    </row>
    <row r="13" spans="2:13" x14ac:dyDescent="0.35">
      <c r="B13" s="1"/>
      <c r="C13" s="1"/>
    </row>
    <row r="14" spans="2:13" x14ac:dyDescent="0.35">
      <c r="B14" s="1"/>
      <c r="C14" s="1"/>
    </row>
    <row r="15" spans="2:13" x14ac:dyDescent="0.35">
      <c r="B15" s="1"/>
      <c r="C15" s="1"/>
    </row>
    <row r="16" spans="2:1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1"/>
    </row>
    <row r="43" spans="2:3" x14ac:dyDescent="0.35">
      <c r="B43" s="1"/>
      <c r="C43" s="1"/>
    </row>
    <row r="44" spans="2:3" x14ac:dyDescent="0.35">
      <c r="B44" s="1"/>
      <c r="C44" s="1"/>
    </row>
    <row r="45" spans="2:3" x14ac:dyDescent="0.35">
      <c r="B45" s="1"/>
      <c r="C45" s="1"/>
    </row>
    <row r="46" spans="2:3" x14ac:dyDescent="0.35">
      <c r="B46" s="1"/>
      <c r="C46" s="1"/>
    </row>
    <row r="47" spans="2:3" x14ac:dyDescent="0.35">
      <c r="B47" s="1"/>
      <c r="C47" s="1"/>
    </row>
    <row r="48" spans="2:3" x14ac:dyDescent="0.35">
      <c r="B48" s="1"/>
      <c r="C48" s="1"/>
    </row>
    <row r="49" spans="2:3" x14ac:dyDescent="0.35">
      <c r="B49" s="1"/>
      <c r="C49" s="1"/>
    </row>
    <row r="50" spans="2:3" x14ac:dyDescent="0.35">
      <c r="B50" s="1"/>
      <c r="C50" s="1"/>
    </row>
    <row r="51" spans="2:3" x14ac:dyDescent="0.35">
      <c r="B51" s="1"/>
      <c r="C51" s="1"/>
    </row>
    <row r="52" spans="2:3" x14ac:dyDescent="0.35">
      <c r="B52" s="1"/>
      <c r="C52" s="1"/>
    </row>
    <row r="53" spans="2:3" x14ac:dyDescent="0.35">
      <c r="B53" s="1"/>
      <c r="C53" s="1"/>
    </row>
    <row r="54" spans="2:3" x14ac:dyDescent="0.35">
      <c r="B54" s="1"/>
      <c r="C54" s="1"/>
    </row>
    <row r="55" spans="2:3" x14ac:dyDescent="0.35">
      <c r="B55" s="1"/>
      <c r="C55" s="1"/>
    </row>
    <row r="56" spans="2:3" x14ac:dyDescent="0.35">
      <c r="B56" s="1"/>
      <c r="C56" s="1"/>
    </row>
    <row r="57" spans="2:3" x14ac:dyDescent="0.35">
      <c r="B57" s="1"/>
      <c r="C57" s="1"/>
    </row>
    <row r="58" spans="2:3" x14ac:dyDescent="0.35">
      <c r="B58" s="1"/>
      <c r="C58" s="1"/>
    </row>
    <row r="59" spans="2:3" x14ac:dyDescent="0.35">
      <c r="B59" s="1"/>
      <c r="C59" s="1"/>
    </row>
    <row r="60" spans="2:3" x14ac:dyDescent="0.35">
      <c r="B60" s="1"/>
      <c r="C60" s="1"/>
    </row>
    <row r="61" spans="2:3" x14ac:dyDescent="0.35">
      <c r="B61" s="1"/>
      <c r="C61" s="1"/>
    </row>
    <row r="62" spans="2:3" x14ac:dyDescent="0.35">
      <c r="B62" s="1"/>
      <c r="C62" s="1"/>
    </row>
    <row r="63" spans="2:3" x14ac:dyDescent="0.35">
      <c r="B63" s="1"/>
      <c r="C63" s="1"/>
    </row>
    <row r="64" spans="2:3" x14ac:dyDescent="0.35">
      <c r="B64" s="1"/>
      <c r="C64" s="1"/>
    </row>
    <row r="65" spans="2:3" x14ac:dyDescent="0.35">
      <c r="B65" s="1"/>
      <c r="C65" s="1"/>
    </row>
    <row r="66" spans="2:3" x14ac:dyDescent="0.35">
      <c r="B66" s="1"/>
      <c r="C66" s="1"/>
    </row>
    <row r="67" spans="2:3" x14ac:dyDescent="0.35">
      <c r="B67" s="1"/>
      <c r="C67" s="1"/>
    </row>
    <row r="68" spans="2:3" x14ac:dyDescent="0.35">
      <c r="B68" s="1"/>
      <c r="C68" s="1"/>
    </row>
    <row r="69" spans="2:3" x14ac:dyDescent="0.35">
      <c r="B69" s="1"/>
      <c r="C69" s="1"/>
    </row>
    <row r="70" spans="2:3" x14ac:dyDescent="0.35">
      <c r="B70" s="1"/>
      <c r="C70" s="1"/>
    </row>
    <row r="71" spans="2:3" x14ac:dyDescent="0.35">
      <c r="B71" s="1"/>
      <c r="C71" s="1"/>
    </row>
    <row r="72" spans="2:3" x14ac:dyDescent="0.35">
      <c r="B72" s="1"/>
      <c r="C72" s="1"/>
    </row>
    <row r="73" spans="2:3" x14ac:dyDescent="0.35">
      <c r="B73" s="1"/>
      <c r="C73" s="1"/>
    </row>
    <row r="74" spans="2:3" x14ac:dyDescent="0.35">
      <c r="B74" s="1"/>
      <c r="C74" s="1"/>
    </row>
    <row r="75" spans="2:3" x14ac:dyDescent="0.35">
      <c r="B75" s="1"/>
      <c r="C75" s="1"/>
    </row>
    <row r="76" spans="2:3" x14ac:dyDescent="0.35">
      <c r="B76" s="1"/>
      <c r="C76" s="1"/>
    </row>
    <row r="77" spans="2:3" x14ac:dyDescent="0.35">
      <c r="B77" s="1"/>
      <c r="C77" s="1"/>
    </row>
    <row r="78" spans="2:3" x14ac:dyDescent="0.35">
      <c r="B78" s="1"/>
      <c r="C78" s="1"/>
    </row>
    <row r="79" spans="2:3" x14ac:dyDescent="0.35">
      <c r="B79" s="1"/>
      <c r="C79" s="1"/>
    </row>
    <row r="80" spans="2:3" x14ac:dyDescent="0.35">
      <c r="B80" s="1"/>
      <c r="C80" s="1"/>
    </row>
    <row r="81" spans="2:3" x14ac:dyDescent="0.35">
      <c r="B81" s="1"/>
      <c r="C81" s="1"/>
    </row>
    <row r="82" spans="2:3" x14ac:dyDescent="0.35">
      <c r="B82" s="1"/>
      <c r="C82" s="1"/>
    </row>
    <row r="83" spans="2:3" x14ac:dyDescent="0.35">
      <c r="B83" s="1"/>
      <c r="C83" s="1"/>
    </row>
    <row r="84" spans="2:3" x14ac:dyDescent="0.35">
      <c r="B84" s="1"/>
      <c r="C84" s="1"/>
    </row>
    <row r="85" spans="2:3" x14ac:dyDescent="0.35">
      <c r="B85" s="1"/>
      <c r="C85" s="1"/>
    </row>
    <row r="86" spans="2:3" x14ac:dyDescent="0.35">
      <c r="B86" s="1"/>
      <c r="C86" s="1"/>
    </row>
    <row r="87" spans="2:3" x14ac:dyDescent="0.35">
      <c r="B87" s="1"/>
      <c r="C87" s="1"/>
    </row>
    <row r="88" spans="2:3" x14ac:dyDescent="0.35">
      <c r="B88" s="1"/>
      <c r="C88" s="1"/>
    </row>
    <row r="89" spans="2:3" x14ac:dyDescent="0.35">
      <c r="B89" s="1"/>
      <c r="C89" s="1"/>
    </row>
    <row r="90" spans="2:3" x14ac:dyDescent="0.35">
      <c r="B90" s="1"/>
      <c r="C90" s="1"/>
    </row>
    <row r="91" spans="2:3" x14ac:dyDescent="0.35">
      <c r="B91" s="1"/>
      <c r="C91" s="1"/>
    </row>
    <row r="92" spans="2:3" x14ac:dyDescent="0.35">
      <c r="B92" s="1"/>
      <c r="C92" s="1"/>
    </row>
    <row r="93" spans="2:3" x14ac:dyDescent="0.35">
      <c r="B93" s="1"/>
      <c r="C93" s="1"/>
    </row>
    <row r="94" spans="2:3" x14ac:dyDescent="0.35">
      <c r="B94" s="1"/>
      <c r="C94" s="1"/>
    </row>
    <row r="95" spans="2:3" x14ac:dyDescent="0.35">
      <c r="B95" s="1"/>
      <c r="C95" s="1"/>
    </row>
    <row r="96" spans="2:3" x14ac:dyDescent="0.35">
      <c r="B96" s="1"/>
      <c r="C96" s="1"/>
    </row>
    <row r="97" spans="2:3" x14ac:dyDescent="0.35">
      <c r="B97" s="1"/>
      <c r="C97" s="1"/>
    </row>
    <row r="98" spans="2:3" x14ac:dyDescent="0.35">
      <c r="B98" s="1"/>
      <c r="C98" s="1"/>
    </row>
    <row r="99" spans="2:3" x14ac:dyDescent="0.35">
      <c r="B99" s="1"/>
      <c r="C99" s="1"/>
    </row>
    <row r="100" spans="2:3" x14ac:dyDescent="0.35">
      <c r="B100" s="1"/>
      <c r="C100" s="1"/>
    </row>
    <row r="101" spans="2:3" x14ac:dyDescent="0.35">
      <c r="B101" s="1"/>
      <c r="C101" s="1"/>
    </row>
    <row r="102" spans="2:3" x14ac:dyDescent="0.35">
      <c r="B102" s="1"/>
      <c r="C102" s="1"/>
    </row>
    <row r="103" spans="2:3" x14ac:dyDescent="0.35">
      <c r="B103" s="1"/>
      <c r="C103" s="1"/>
    </row>
    <row r="104" spans="2:3" x14ac:dyDescent="0.35">
      <c r="B104" s="1"/>
      <c r="C104" s="1"/>
    </row>
    <row r="105" spans="2:3" x14ac:dyDescent="0.35">
      <c r="B105" s="1"/>
      <c r="C105" s="1"/>
    </row>
    <row r="106" spans="2:3" x14ac:dyDescent="0.35">
      <c r="B106" s="1"/>
      <c r="C106" s="1"/>
    </row>
  </sheetData>
  <mergeCells count="10">
    <mergeCell ref="B4:C4"/>
    <mergeCell ref="D4:E4"/>
    <mergeCell ref="J2:M2"/>
    <mergeCell ref="J3:K3"/>
    <mergeCell ref="L3:M3"/>
    <mergeCell ref="J4:K4"/>
    <mergeCell ref="L4:M4"/>
    <mergeCell ref="B2:E2"/>
    <mergeCell ref="B3:C3"/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04</vt:lpstr>
      <vt:lpstr>Pearson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M.Dehghan</dc:creator>
  <cp:lastModifiedBy>mehrdad mansourdehghan</cp:lastModifiedBy>
  <dcterms:created xsi:type="dcterms:W3CDTF">2023-04-21T19:04:11Z</dcterms:created>
  <dcterms:modified xsi:type="dcterms:W3CDTF">2023-05-04T15:52:45Z</dcterms:modified>
</cp:coreProperties>
</file>